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0"/>
  <workbookPr/>
  <mc:AlternateContent xmlns:mc="http://schemas.openxmlformats.org/markup-compatibility/2006">
    <mc:Choice Requires="x15">
      <x15ac:absPath xmlns:x15ac="http://schemas.microsoft.com/office/spreadsheetml/2010/11/ac" url="/Users/scr/.hermes/skills/productivity/travel-expense-fill/templates/"/>
    </mc:Choice>
  </mc:AlternateContent>
  <xr:revisionPtr revIDLastSave="0" documentId="13_ncr:1_{016B889B-FF1F-9045-B335-2619481600DE}" xr6:coauthVersionLast="47" xr6:coauthVersionMax="47" xr10:uidLastSave="{00000000-0000-0000-0000-000000000000}"/>
  <bookViews>
    <workbookView xWindow="0" yWindow="500" windowWidth="28800" windowHeight="15960" activeTab="1" xr2:uid="{00000000-000D-0000-FFFF-FFFF00000000}"/>
  </bookViews>
  <sheets>
    <sheet name="Sheet1" sheetId="1" state="hidden" r:id="rId1"/>
    <sheet name="Base地交通费" sheetId="3" r:id="rId2"/>
  </sheets>
  <definedNames>
    <definedName name="_xlnm.Print_Area" localSheetId="1">Base地交通费!$A$1:$F$40</definedName>
    <definedName name="_xlnm.Print_Area" localSheetId="0">Sheet1!$A$1:$R$46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40" i="3" l="1"/>
  <c r="J46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N3" i="1"/>
  <c r="K3" i="1"/>
</calcChain>
</file>

<file path=xl/sharedStrings.xml><?xml version="1.0" encoding="utf-8"?>
<sst xmlns="http://schemas.openxmlformats.org/spreadsheetml/2006/main" count="77" uniqueCount="55">
  <si>
    <t>腾云悦智科技（深圳）有限责任公司 —— 个人费用报告</t>
  </si>
  <si>
    <r>
      <rPr>
        <b/>
        <sz val="9"/>
        <color rgb="FFFF0000"/>
        <rFont val="等线"/>
        <family val="4"/>
        <charset val="134"/>
        <scheme val="minor"/>
      </rPr>
      <t xml:space="preserve">* </t>
    </r>
    <r>
      <rPr>
        <b/>
        <sz val="9"/>
        <color theme="1"/>
        <rFont val="等线"/>
        <family val="4"/>
        <charset val="134"/>
        <scheme val="minor"/>
      </rPr>
      <t>姓  名</t>
    </r>
  </si>
  <si>
    <r>
      <rPr>
        <b/>
        <sz val="9"/>
        <color rgb="FFFF0000"/>
        <rFont val="等线"/>
        <family val="4"/>
        <charset val="134"/>
        <scheme val="minor"/>
      </rPr>
      <t xml:space="preserve">* </t>
    </r>
    <r>
      <rPr>
        <b/>
        <sz val="9"/>
        <color theme="1"/>
        <rFont val="等线"/>
        <family val="4"/>
        <charset val="134"/>
        <scheme val="minor"/>
      </rPr>
      <t>职位级别</t>
    </r>
  </si>
  <si>
    <t>* 为必填项</t>
  </si>
  <si>
    <r>
      <rPr>
        <b/>
        <sz val="9"/>
        <color rgb="FFFF0000"/>
        <rFont val="等线"/>
        <family val="4"/>
        <charset val="134"/>
        <scheme val="minor"/>
      </rPr>
      <t xml:space="preserve">* </t>
    </r>
    <r>
      <rPr>
        <b/>
        <sz val="9"/>
        <color theme="1"/>
        <rFont val="等线"/>
        <family val="4"/>
        <charset val="134"/>
        <scheme val="minor"/>
      </rPr>
      <t>项目leader</t>
    </r>
  </si>
  <si>
    <t>对接商务</t>
  </si>
  <si>
    <r>
      <rPr>
        <b/>
        <sz val="9"/>
        <color rgb="FFFF0000"/>
        <rFont val="等线"/>
        <family val="4"/>
        <charset val="134"/>
        <scheme val="minor"/>
      </rPr>
      <t xml:space="preserve">* </t>
    </r>
    <r>
      <rPr>
        <b/>
        <sz val="9"/>
        <color theme="1"/>
        <rFont val="等线"/>
        <family val="4"/>
        <charset val="134"/>
        <scheme val="minor"/>
      </rPr>
      <t>出差事由/项目名称：</t>
    </r>
  </si>
  <si>
    <t>12月出差深圳费用/团建/招待/项目名称</t>
  </si>
  <si>
    <r>
      <rPr>
        <b/>
        <sz val="9"/>
        <color rgb="FFFF0000"/>
        <rFont val="等线"/>
        <family val="4"/>
        <charset val="134"/>
        <scheme val="minor"/>
      </rPr>
      <t xml:space="preserve">* </t>
    </r>
    <r>
      <rPr>
        <b/>
        <sz val="9"/>
        <color theme="1"/>
        <rFont val="等线"/>
        <family val="4"/>
        <charset val="134"/>
        <scheme val="minor"/>
      </rPr>
      <t>时间期限</t>
    </r>
  </si>
  <si>
    <r>
      <rPr>
        <b/>
        <sz val="9"/>
        <color rgb="FFFF0000"/>
        <rFont val="等线"/>
        <family val="4"/>
        <charset val="134"/>
        <scheme val="minor"/>
      </rPr>
      <t xml:space="preserve">* </t>
    </r>
    <r>
      <rPr>
        <b/>
        <sz val="9"/>
        <color theme="1"/>
        <rFont val="等线"/>
        <family val="4"/>
        <charset val="134"/>
        <scheme val="minor"/>
      </rPr>
      <t>TO</t>
    </r>
  </si>
  <si>
    <t>日期</t>
  </si>
  <si>
    <r>
      <rPr>
        <b/>
        <sz val="8"/>
        <color rgb="FFFF0000"/>
        <rFont val="等线"/>
        <family val="4"/>
        <charset val="134"/>
        <scheme val="minor"/>
      </rPr>
      <t xml:space="preserve">*
</t>
    </r>
    <r>
      <rPr>
        <b/>
        <sz val="9"/>
        <color rgb="FFFF0000"/>
        <rFont val="等线"/>
        <family val="4"/>
        <charset val="134"/>
        <scheme val="minor"/>
      </rPr>
      <t xml:space="preserve"> </t>
    </r>
    <r>
      <rPr>
        <b/>
        <sz val="9"/>
        <color theme="1"/>
        <rFont val="等线"/>
        <family val="4"/>
        <charset val="134"/>
        <scheme val="minor"/>
      </rPr>
      <t>base城市</t>
    </r>
  </si>
  <si>
    <r>
      <rPr>
        <b/>
        <sz val="9"/>
        <color rgb="FFFF0000"/>
        <rFont val="等线"/>
        <family val="4"/>
        <charset val="134"/>
        <scheme val="minor"/>
      </rPr>
      <t xml:space="preserve">* 
</t>
    </r>
    <r>
      <rPr>
        <b/>
        <sz val="9"/>
        <color theme="1"/>
        <rFont val="等线"/>
        <family val="4"/>
        <charset val="134"/>
        <scheme val="minor"/>
      </rPr>
      <t>出发地</t>
    </r>
  </si>
  <si>
    <r>
      <rPr>
        <b/>
        <sz val="9"/>
        <color rgb="FFFF0000"/>
        <rFont val="等线"/>
        <family val="4"/>
        <charset val="134"/>
        <scheme val="minor"/>
      </rPr>
      <t xml:space="preserve">* 
</t>
    </r>
    <r>
      <rPr>
        <b/>
        <sz val="9"/>
        <color theme="1"/>
        <rFont val="等线"/>
        <family val="4"/>
        <charset val="134"/>
        <scheme val="minor"/>
      </rPr>
      <t>出差地</t>
    </r>
  </si>
  <si>
    <r>
      <rPr>
        <b/>
        <sz val="9"/>
        <color rgb="FFFF0000"/>
        <rFont val="等线"/>
        <family val="4"/>
        <charset val="134"/>
        <scheme val="minor"/>
      </rPr>
      <t xml:space="preserve">* 
</t>
    </r>
    <r>
      <rPr>
        <b/>
        <sz val="9"/>
        <color theme="1"/>
        <rFont val="等线"/>
        <family val="4"/>
        <charset val="134"/>
        <scheme val="minor"/>
      </rPr>
      <t>事由</t>
    </r>
  </si>
  <si>
    <t>差旅费</t>
  </si>
  <si>
    <t>Base城市内交通费</t>
  </si>
  <si>
    <t>办公费</t>
  </si>
  <si>
    <t>招待费</t>
  </si>
  <si>
    <t>团建费</t>
  </si>
  <si>
    <t>其他支出</t>
  </si>
  <si>
    <t>备注（交通费事由、出发地-目的地；其他费用事由）</t>
  </si>
  <si>
    <t>报销合计</t>
  </si>
  <si>
    <t>base城市</t>
  </si>
  <si>
    <t>出发地</t>
  </si>
  <si>
    <t>出差地</t>
  </si>
  <si>
    <t>机票</t>
  </si>
  <si>
    <t>高铁/
动车</t>
  </si>
  <si>
    <t>大巴/
轮船</t>
  </si>
  <si>
    <t>目的地交通费</t>
  </si>
  <si>
    <t>住宿</t>
  </si>
  <si>
    <t>当日补贴</t>
  </si>
  <si>
    <t>广州</t>
  </si>
  <si>
    <t>深圳</t>
  </si>
  <si>
    <t>出差</t>
  </si>
  <si>
    <t>合计</t>
  </si>
  <si>
    <t>招待时间</t>
  </si>
  <si>
    <t>招待对象</t>
  </si>
  <si>
    <t>招待对象级别/职位</t>
  </si>
  <si>
    <t>招待地点</t>
  </si>
  <si>
    <t>招待目的</t>
  </si>
  <si>
    <t>费用</t>
  </si>
  <si>
    <t>腾云悦智科技（深圳）有限责任公司 —— 个人费用报告（Base地交通费）</t>
  </si>
  <si>
    <r>
      <rPr>
        <b/>
        <sz val="9"/>
        <color rgb="FFFF0000"/>
        <rFont val="等线"/>
        <family val="4"/>
        <charset val="134"/>
        <scheme val="minor"/>
      </rPr>
      <t xml:space="preserve">* </t>
    </r>
    <r>
      <rPr>
        <b/>
        <sz val="9"/>
        <color theme="1"/>
        <rFont val="等线"/>
        <family val="4"/>
        <charset val="134"/>
        <scheme val="minor"/>
      </rPr>
      <t>工号</t>
    </r>
  </si>
  <si>
    <r>
      <rPr>
        <b/>
        <sz val="9"/>
        <color rgb="FFFF0000"/>
        <rFont val="等线"/>
        <family val="4"/>
        <charset val="134"/>
        <scheme val="minor"/>
      </rPr>
      <t>*</t>
    </r>
    <r>
      <rPr>
        <b/>
        <sz val="9"/>
        <rFont val="等线"/>
        <family val="4"/>
        <charset val="134"/>
        <scheme val="minor"/>
      </rPr>
      <t xml:space="preserve"> 报销类型</t>
    </r>
  </si>
  <si>
    <t>Base地交通费</t>
  </si>
  <si>
    <r>
      <rPr>
        <b/>
        <sz val="9"/>
        <color rgb="FFFF0000"/>
        <rFont val="等线"/>
        <family val="4"/>
        <charset val="134"/>
        <scheme val="minor"/>
      </rPr>
      <t xml:space="preserve">* </t>
    </r>
    <r>
      <rPr>
        <b/>
        <sz val="9"/>
        <color theme="1"/>
        <rFont val="等线"/>
        <family val="4"/>
        <charset val="134"/>
        <scheme val="minor"/>
      </rPr>
      <t>汇报对象</t>
    </r>
  </si>
  <si>
    <r>
      <rPr>
        <b/>
        <sz val="9"/>
        <color rgb="FFFF0000"/>
        <rFont val="等线"/>
        <family val="4"/>
        <charset val="134"/>
        <scheme val="minor"/>
      </rPr>
      <t xml:space="preserve">* </t>
    </r>
    <r>
      <rPr>
        <b/>
        <sz val="9"/>
        <rFont val="等线"/>
        <family val="4"/>
        <charset val="134"/>
        <scheme val="minor"/>
      </rPr>
      <t>项目编号/商机编号</t>
    </r>
  </si>
  <si>
    <r>
      <rPr>
        <b/>
        <sz val="9"/>
        <color rgb="FFFF0000"/>
        <rFont val="等线"/>
        <family val="4"/>
        <charset val="134"/>
        <scheme val="minor"/>
      </rPr>
      <t xml:space="preserve">* </t>
    </r>
    <r>
      <rPr>
        <b/>
        <sz val="9"/>
        <rFont val="等线"/>
        <family val="4"/>
        <charset val="134"/>
        <scheme val="minor"/>
      </rPr>
      <t>项目状态</t>
    </r>
  </si>
  <si>
    <r>
      <rPr>
        <b/>
        <sz val="9"/>
        <color rgb="FFFF0000"/>
        <rFont val="等线"/>
        <family val="4"/>
        <charset val="134"/>
        <scheme val="minor"/>
      </rPr>
      <t xml:space="preserve">* </t>
    </r>
    <r>
      <rPr>
        <b/>
        <sz val="9"/>
        <rFont val="等线"/>
        <family val="4"/>
        <charset val="134"/>
        <scheme val="minor"/>
      </rPr>
      <t>项目名称/商机名称</t>
    </r>
  </si>
  <si>
    <r>
      <rPr>
        <b/>
        <sz val="9"/>
        <color rgb="FFFF0000"/>
        <rFont val="等线"/>
        <family val="4"/>
        <charset val="134"/>
        <scheme val="minor"/>
      </rPr>
      <t xml:space="preserve">* </t>
    </r>
    <r>
      <rPr>
        <b/>
        <sz val="9"/>
        <rFont val="等线"/>
        <family val="4"/>
        <charset val="134"/>
        <scheme val="minor"/>
      </rPr>
      <t>项目经理</t>
    </r>
  </si>
  <si>
    <t>项目编号是公司麒麟系统项目立项编号，不是PO单号；商机编号是麒麟系统商机立项编号</t>
  </si>
  <si>
    <t>时间</t>
  </si>
  <si>
    <t>目的地</t>
  </si>
  <si>
    <t>事由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</si>
</sst>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_ * #,##0.00_ ;_ * \-#,##0.00_ ;_ * &quot;-&quot;??_ ;_ @_ "/>
  </numFmts>
  <fonts count="10">
    <font>
      <sz val="11"/>
      <color theme="1"/>
      <name val="等线"/>
      <charset val="134"/>
      <scheme val="minor"/>
    </font>
    <font>
      <b/>
      <sz val="11"/>
      <color theme="1"/>
      <name val="等线"/>
      <family val="4"/>
      <charset val="134"/>
      <scheme val="minor"/>
    </font>
    <font>
      <b/>
      <sz val="9"/>
      <color theme="1"/>
      <name val="等线"/>
      <family val="4"/>
      <charset val="134"/>
      <scheme val="minor"/>
    </font>
    <font>
      <b/>
      <sz val="9"/>
      <name val="等线"/>
      <family val="4"/>
      <charset val="134"/>
      <scheme val="minor"/>
    </font>
    <font>
      <b/>
      <sz val="9"/>
      <color rgb="FFFF0000"/>
      <name val="等线"/>
      <family val="4"/>
      <charset val="134"/>
      <scheme val="minor"/>
    </font>
    <font>
      <sz val="9"/>
      <color theme="1"/>
      <name val="等线"/>
      <family val="4"/>
      <charset val="134"/>
      <scheme val="minor"/>
    </font>
    <font>
      <sz val="9"/>
      <color rgb="FFFF0000"/>
      <name val="等线"/>
      <family val="4"/>
      <charset val="134"/>
      <scheme val="minor"/>
    </font>
    <font>
      <sz val="9"/>
      <name val="等线"/>
      <family val="4"/>
      <charset val="134"/>
      <scheme val="minor"/>
    </font>
    <font>
      <b/>
      <sz val="8"/>
      <color theme="1"/>
      <name val="等线"/>
      <family val="4"/>
      <charset val="134"/>
      <scheme val="minor"/>
    </font>
    <font>
      <b/>
      <sz val="8"/>
      <color rgb="FFFF0000"/>
      <name val="等线"/>
      <family val="4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8458815271462"/>
        <bgColor indexed="64"/>
      </patternFill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 applyAlignment="1">
      <alignment vertical="center"/>
    </xf>
    <xf numFmtId="39" fontId="2" fillId="0" borderId="1" xfId="0" applyNumberFormat="1" applyFont="1" applyBorder="1" applyAlignment="1">
      <alignment horizontal="center" vertical="center"/>
    </xf>
    <xf numFmtId="39" fontId="3" fillId="0" borderId="1" xfId="0" applyNumberFormat="1" applyFont="1" applyBorder="1" applyAlignment="1">
      <alignment horizontal="center" vertical="center"/>
    </xf>
    <xf numFmtId="39" fontId="4" fillId="0" borderId="1" xfId="0" applyNumberFormat="1" applyFont="1" applyBorder="1" applyAlignment="1">
      <alignment horizontal="center" vertical="center"/>
    </xf>
    <xf numFmtId="39" fontId="4" fillId="0" borderId="0" xfId="0" applyNumberFormat="1" applyFont="1" applyAlignment="1">
      <alignment vertical="center"/>
    </xf>
    <xf numFmtId="39" fontId="2" fillId="2" borderId="1" xfId="0" applyNumberFormat="1" applyFont="1" applyFill="1" applyBorder="1" applyAlignment="1">
      <alignment horizontal="center" vertical="center" wrapText="1"/>
    </xf>
    <xf numFmtId="31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39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5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39" fontId="0" fillId="3" borderId="0" xfId="0" applyNumberForma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39" fontId="0" fillId="0" borderId="0" xfId="0" applyNumberFormat="1" applyAlignment="1">
      <alignment vertical="center"/>
    </xf>
    <xf numFmtId="0" fontId="0" fillId="3" borderId="0" xfId="0" applyFill="1" applyAlignment="1">
      <alignment vertical="center"/>
    </xf>
    <xf numFmtId="39" fontId="0" fillId="3" borderId="0" xfId="0" applyNumberForma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39" fontId="2" fillId="2" borderId="1" xfId="0" applyNumberFormat="1" applyFont="1" applyFill="1" applyBorder="1" applyAlignment="1">
      <alignment horizontal="center" vertical="center"/>
    </xf>
    <xf numFmtId="14" fontId="5" fillId="3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39" fontId="5" fillId="4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39" fontId="2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39" fontId="0" fillId="3" borderId="2" xfId="0" applyNumberFormat="1" applyFill="1" applyBorder="1" applyAlignment="1">
      <alignment horizontal="center" vertical="center" wrapText="1"/>
    </xf>
    <xf numFmtId="39" fontId="0" fillId="3" borderId="2" xfId="0" applyNumberFormat="1" applyFill="1" applyBorder="1" applyAlignment="1">
      <alignment horizontal="center" vertical="center"/>
    </xf>
    <xf numFmtId="39" fontId="2" fillId="2" borderId="3" xfId="0" applyNumberFormat="1" applyFont="1" applyFill="1" applyBorder="1" applyAlignment="1">
      <alignment horizontal="center" vertical="center"/>
    </xf>
    <xf numFmtId="39" fontId="2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39" fontId="6" fillId="4" borderId="1" xfId="0" applyNumberFormat="1" applyFont="1" applyFill="1" applyBorder="1" applyAlignment="1">
      <alignment horizontal="center" vertical="center"/>
    </xf>
    <xf numFmtId="39" fontId="2" fillId="3" borderId="2" xfId="0" applyNumberFormat="1" applyFont="1" applyFill="1" applyBorder="1" applyAlignment="1">
      <alignment horizontal="center" vertical="center" wrapText="1"/>
    </xf>
    <xf numFmtId="39" fontId="0" fillId="3" borderId="1" xfId="0" applyNumberFormat="1" applyFill="1" applyBorder="1" applyAlignment="1">
      <alignment horizontal="center" vertical="center" wrapText="1"/>
    </xf>
    <xf numFmtId="0" fontId="0" fillId="3" borderId="0" xfId="0" applyFill="1"/>
    <xf numFmtId="178" fontId="5" fillId="3" borderId="1" xfId="0" applyNumberFormat="1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39" fontId="2" fillId="4" borderId="1" xfId="0" applyNumberFormat="1" applyFont="1" applyFill="1" applyBorder="1" applyAlignment="1">
      <alignment horizontal="center" vertical="center"/>
    </xf>
    <xf numFmtId="39" fontId="2" fillId="5" borderId="1" xfId="0" applyNumberFormat="1" applyFont="1" applyFill="1" applyBorder="1" applyAlignment="1">
      <alignment horizontal="center" vertical="center"/>
    </xf>
    <xf numFmtId="39" fontId="2" fillId="2" borderId="6" xfId="0" applyNumberFormat="1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/>
    </xf>
    <xf numFmtId="39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39" fontId="2" fillId="3" borderId="2" xfId="0" applyNumberFormat="1" applyFont="1" applyFill="1" applyBorder="1" applyAlignment="1">
      <alignment horizontal="center" vertical="center"/>
    </xf>
    <xf numFmtId="39" fontId="2" fillId="3" borderId="3" xfId="0" applyNumberFormat="1" applyFont="1" applyFill="1" applyBorder="1" applyAlignment="1">
      <alignment horizontal="center" vertical="center"/>
    </xf>
    <xf numFmtId="39" fontId="0" fillId="3" borderId="2" xfId="0" applyNumberForma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39" fontId="0" fillId="3" borderId="2" xfId="0" applyNumberFormat="1" applyFill="1" applyBorder="1" applyAlignment="1">
      <alignment horizontal="center" vertical="center"/>
    </xf>
    <xf numFmtId="39" fontId="0" fillId="3" borderId="3" xfId="0" applyNumberForma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39" fontId="2" fillId="2" borderId="1" xfId="0" applyNumberFormat="1" applyFont="1" applyFill="1" applyBorder="1" applyAlignment="1">
      <alignment horizontal="center" vertical="center" wrapText="1"/>
    </xf>
    <xf numFmtId="39" fontId="2" fillId="2" borderId="4" xfId="0" applyNumberFormat="1" applyFont="1" applyFill="1" applyBorder="1" applyAlignment="1">
      <alignment horizontal="center" vertical="center" wrapText="1"/>
    </xf>
    <xf numFmtId="39" fontId="2" fillId="2" borderId="6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39" fontId="2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39" fontId="4" fillId="0" borderId="0" xfId="0" applyNumberFormat="1" applyFont="1" applyAlignment="1">
      <alignment horizontal="left" vertical="center"/>
    </xf>
    <xf numFmtId="39" fontId="2" fillId="2" borderId="2" xfId="0" applyNumberFormat="1" applyFont="1" applyFill="1" applyBorder="1" applyAlignment="1">
      <alignment horizontal="center" vertical="center" wrapText="1"/>
    </xf>
    <xf numFmtId="39" fontId="2" fillId="2" borderId="3" xfId="0" applyNumberFormat="1" applyFont="1" applyFill="1" applyBorder="1" applyAlignment="1">
      <alignment horizontal="center" vertical="center" wrapText="1"/>
    </xf>
    <xf numFmtId="39" fontId="2" fillId="0" borderId="2" xfId="0" applyNumberFormat="1" applyFont="1" applyBorder="1" applyAlignment="1">
      <alignment horizontal="center" vertical="center"/>
    </xf>
    <xf numFmtId="39" fontId="2" fillId="0" borderId="3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39" fontId="2" fillId="0" borderId="2" xfId="0" applyNumberFormat="1" applyFont="1" applyBorder="1" applyAlignment="1">
      <alignment horizontal="center" vertical="center" wrapText="1"/>
    </xf>
    <xf numFmtId="39" fontId="2" fillId="0" borderId="3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46"/>
  <sheetViews>
    <sheetView topLeftCell="A10" zoomScale="85" zoomScaleNormal="85" workbookViewId="0">
      <selection activeCell="A21" sqref="A21"/>
    </sheetView>
  </sheetViews>
  <sheetFormatPr baseColWidth="10" defaultColWidth="9" defaultRowHeight="15"/>
  <cols>
    <col min="1" max="1" width="10.83203125" style="16" customWidth="1"/>
    <col min="2" max="2" width="9.1640625" style="16" customWidth="1"/>
    <col min="3" max="3" width="7.83203125" style="16" customWidth="1"/>
    <col min="4" max="4" width="8.6640625" style="16" customWidth="1"/>
    <col min="5" max="5" width="12.1640625" style="16" customWidth="1"/>
    <col min="6" max="6" width="7.6640625" style="17" customWidth="1"/>
    <col min="7" max="8" width="7.5" style="17" customWidth="1"/>
    <col min="9" max="9" width="10.33203125" style="17" customWidth="1"/>
    <col min="10" max="10" width="9.83203125" style="17" customWidth="1"/>
    <col min="11" max="11" width="7.1640625" style="17" customWidth="1"/>
    <col min="12" max="12" width="7.5" style="17" customWidth="1"/>
    <col min="13" max="13" width="12" style="17" customWidth="1"/>
    <col min="14" max="14" width="8.33203125" style="17" customWidth="1"/>
    <col min="15" max="15" width="8.83203125" style="17" customWidth="1"/>
    <col min="16" max="16" width="12.1640625" style="17" customWidth="1"/>
    <col min="17" max="17" width="18.5" style="17" customWidth="1"/>
    <col min="18" max="18" width="8" style="17" customWidth="1"/>
    <col min="19" max="19" width="9.5" style="17" customWidth="1"/>
    <col min="20" max="20" width="9" style="17"/>
    <col min="21" max="16384" width="9" style="16"/>
  </cols>
  <sheetData>
    <row r="1" spans="1:27" ht="15.75" customHeight="1">
      <c r="A1" s="41" t="s">
        <v>0</v>
      </c>
      <c r="B1" s="41"/>
      <c r="C1" s="41"/>
      <c r="D1" s="41"/>
      <c r="E1" s="41"/>
      <c r="F1" s="41"/>
      <c r="G1" s="41"/>
      <c r="H1" s="42"/>
      <c r="J1" s="33" t="s">
        <v>1</v>
      </c>
      <c r="K1" s="43"/>
      <c r="L1" s="43"/>
      <c r="M1" s="24" t="s">
        <v>2</v>
      </c>
      <c r="N1" s="44"/>
      <c r="O1" s="44"/>
      <c r="P1" s="34"/>
      <c r="Q1" s="34"/>
      <c r="R1" s="34"/>
      <c r="S1" s="16"/>
    </row>
    <row r="2" spans="1:27" ht="15.75" customHeight="1">
      <c r="A2" s="18"/>
      <c r="B2" s="18"/>
      <c r="C2" s="19"/>
      <c r="D2" s="19"/>
      <c r="E2" s="19"/>
      <c r="F2" s="20"/>
      <c r="G2" s="20"/>
      <c r="H2" s="18" t="s">
        <v>3</v>
      </c>
      <c r="I2" s="18"/>
      <c r="J2" s="33" t="s">
        <v>4</v>
      </c>
      <c r="K2" s="43"/>
      <c r="L2" s="43"/>
      <c r="M2" s="24" t="s">
        <v>5</v>
      </c>
      <c r="N2" s="44"/>
      <c r="O2" s="44"/>
      <c r="P2" s="34"/>
      <c r="Q2" s="34"/>
      <c r="R2" s="34"/>
      <c r="S2" s="16"/>
    </row>
    <row r="3" spans="1:27" ht="15.75" customHeight="1">
      <c r="A3" s="45" t="s">
        <v>6</v>
      </c>
      <c r="B3" s="45"/>
      <c r="C3" s="46" t="s">
        <v>7</v>
      </c>
      <c r="D3" s="47"/>
      <c r="E3" s="47"/>
      <c r="F3" s="47"/>
      <c r="G3" s="47"/>
      <c r="H3" s="48"/>
      <c r="J3" s="33" t="s">
        <v>8</v>
      </c>
      <c r="K3" s="49">
        <f>A8</f>
        <v>44896</v>
      </c>
      <c r="L3" s="49"/>
      <c r="M3" s="24" t="s">
        <v>9</v>
      </c>
      <c r="N3" s="49">
        <f>A12</f>
        <v>44900</v>
      </c>
      <c r="O3" s="49"/>
      <c r="P3" s="35"/>
      <c r="Q3" s="35"/>
      <c r="R3" s="35"/>
      <c r="S3" s="16"/>
    </row>
    <row r="4" spans="1:27" ht="8" customHeight="1">
      <c r="B4" s="21"/>
      <c r="C4" s="21"/>
      <c r="D4" s="21"/>
      <c r="E4" s="21"/>
      <c r="F4" s="22"/>
      <c r="G4" s="22"/>
      <c r="H4" s="22"/>
      <c r="I4" s="22"/>
    </row>
    <row r="5" spans="1:27" ht="8" customHeight="1"/>
    <row r="6" spans="1:27" customFormat="1" ht="16.5" customHeight="1">
      <c r="A6" s="51" t="s">
        <v>10</v>
      </c>
      <c r="B6" s="62" t="s">
        <v>11</v>
      </c>
      <c r="C6" s="64" t="s">
        <v>12</v>
      </c>
      <c r="D6" s="64" t="s">
        <v>13</v>
      </c>
      <c r="E6" s="64" t="s">
        <v>14</v>
      </c>
      <c r="F6" s="50" t="s">
        <v>15</v>
      </c>
      <c r="G6" s="50"/>
      <c r="H6" s="50"/>
      <c r="I6" s="50"/>
      <c r="J6" s="50"/>
      <c r="K6" s="50"/>
      <c r="L6" s="65" t="s">
        <v>16</v>
      </c>
      <c r="M6" s="65" t="s">
        <v>17</v>
      </c>
      <c r="N6" s="65" t="s">
        <v>18</v>
      </c>
      <c r="O6" s="65" t="s">
        <v>19</v>
      </c>
      <c r="P6" s="66" t="s">
        <v>20</v>
      </c>
      <c r="Q6" s="65" t="s">
        <v>21</v>
      </c>
      <c r="R6" s="50" t="s">
        <v>22</v>
      </c>
      <c r="S6" s="39"/>
      <c r="T6" s="39"/>
      <c r="U6" s="39"/>
      <c r="V6" s="39"/>
      <c r="W6" s="39"/>
      <c r="X6" s="39"/>
      <c r="Y6" s="39"/>
      <c r="Z6" s="39"/>
      <c r="AA6" s="39"/>
    </row>
    <row r="7" spans="1:27" s="14" customFormat="1" ht="27.75" customHeight="1">
      <c r="A7" s="51"/>
      <c r="B7" s="63" t="s">
        <v>23</v>
      </c>
      <c r="C7" s="51" t="s">
        <v>24</v>
      </c>
      <c r="D7" s="51" t="s">
        <v>25</v>
      </c>
      <c r="E7" s="51"/>
      <c r="F7" s="24" t="s">
        <v>26</v>
      </c>
      <c r="G7" s="6" t="s">
        <v>27</v>
      </c>
      <c r="H7" s="6" t="s">
        <v>28</v>
      </c>
      <c r="I7" s="6" t="s">
        <v>29</v>
      </c>
      <c r="J7" s="24" t="s">
        <v>30</v>
      </c>
      <c r="K7" s="6" t="s">
        <v>31</v>
      </c>
      <c r="L7" s="65"/>
      <c r="M7" s="65"/>
      <c r="N7" s="65"/>
      <c r="O7" s="65"/>
      <c r="P7" s="67"/>
      <c r="Q7" s="65"/>
      <c r="R7" s="50"/>
    </row>
    <row r="8" spans="1:27" s="14" customFormat="1" ht="11.5" customHeight="1">
      <c r="A8" s="25">
        <v>44896</v>
      </c>
      <c r="B8" s="26" t="s">
        <v>32</v>
      </c>
      <c r="C8" s="26" t="s">
        <v>32</v>
      </c>
      <c r="D8" s="26" t="s">
        <v>33</v>
      </c>
      <c r="E8" s="26" t="s">
        <v>34</v>
      </c>
      <c r="F8" s="27"/>
      <c r="G8" s="27">
        <v>74.5</v>
      </c>
      <c r="H8" s="27"/>
      <c r="I8" s="27">
        <v>47.2</v>
      </c>
      <c r="J8" s="27"/>
      <c r="K8" s="27">
        <v>60</v>
      </c>
      <c r="L8" s="27">
        <v>59.98</v>
      </c>
      <c r="M8" s="27"/>
      <c r="N8" s="36"/>
      <c r="O8" s="36"/>
      <c r="P8" s="36"/>
      <c r="Q8" s="27"/>
      <c r="R8" s="40">
        <f>SUM(F8:Q8)</f>
        <v>241.67999999999998</v>
      </c>
    </row>
    <row r="9" spans="1:27" s="14" customFormat="1" ht="11.5" customHeight="1">
      <c r="A9" s="25">
        <v>44897</v>
      </c>
      <c r="B9" s="26" t="s">
        <v>32</v>
      </c>
      <c r="C9" s="26" t="s">
        <v>32</v>
      </c>
      <c r="D9" s="26" t="s">
        <v>33</v>
      </c>
      <c r="E9" s="26" t="s">
        <v>34</v>
      </c>
      <c r="F9" s="27"/>
      <c r="G9" s="27"/>
      <c r="H9" s="27"/>
      <c r="I9" s="27"/>
      <c r="J9" s="27"/>
      <c r="K9" s="27">
        <v>120</v>
      </c>
      <c r="L9" s="27"/>
      <c r="M9" s="27"/>
      <c r="N9" s="27"/>
      <c r="O9" s="27"/>
      <c r="P9" s="27"/>
      <c r="Q9" s="27"/>
      <c r="R9" s="40">
        <f t="shared" ref="R9:R38" si="0">SUM(F9:Q9)</f>
        <v>120</v>
      </c>
    </row>
    <row r="10" spans="1:27" s="14" customFormat="1" ht="11.5" customHeight="1">
      <c r="A10" s="25">
        <v>44898</v>
      </c>
      <c r="B10" s="26" t="s">
        <v>32</v>
      </c>
      <c r="C10" s="26" t="s">
        <v>32</v>
      </c>
      <c r="D10" s="26" t="s">
        <v>33</v>
      </c>
      <c r="E10" s="26" t="s">
        <v>34</v>
      </c>
      <c r="F10" s="27"/>
      <c r="G10" s="27"/>
      <c r="H10" s="27"/>
      <c r="I10" s="27"/>
      <c r="J10" s="27"/>
      <c r="K10" s="27">
        <v>120</v>
      </c>
      <c r="L10" s="27"/>
      <c r="M10" s="27"/>
      <c r="N10" s="27"/>
      <c r="O10" s="27"/>
      <c r="P10" s="27"/>
      <c r="Q10" s="27"/>
      <c r="R10" s="40">
        <f t="shared" si="0"/>
        <v>120</v>
      </c>
    </row>
    <row r="11" spans="1:27" s="14" customFormat="1" ht="11.5" customHeight="1">
      <c r="A11" s="25">
        <v>44899</v>
      </c>
      <c r="B11" s="26" t="s">
        <v>32</v>
      </c>
      <c r="C11" s="26" t="s">
        <v>32</v>
      </c>
      <c r="D11" s="26" t="s">
        <v>33</v>
      </c>
      <c r="E11" s="26" t="s">
        <v>34</v>
      </c>
      <c r="F11" s="27"/>
      <c r="G11" s="27"/>
      <c r="H11" s="27"/>
      <c r="I11" s="27"/>
      <c r="J11" s="27"/>
      <c r="K11" s="27">
        <v>120</v>
      </c>
      <c r="L11" s="27"/>
      <c r="M11" s="27"/>
      <c r="N11" s="27"/>
      <c r="O11" s="27"/>
      <c r="P11" s="27"/>
      <c r="Q11" s="27"/>
      <c r="R11" s="40">
        <f t="shared" si="0"/>
        <v>120</v>
      </c>
    </row>
    <row r="12" spans="1:27" s="14" customFormat="1" ht="11.5" customHeight="1">
      <c r="A12" s="25">
        <v>44900</v>
      </c>
      <c r="B12" s="26" t="s">
        <v>32</v>
      </c>
      <c r="C12" s="26" t="s">
        <v>32</v>
      </c>
      <c r="D12" s="26" t="s">
        <v>33</v>
      </c>
      <c r="E12" s="26" t="s">
        <v>34</v>
      </c>
      <c r="F12" s="27"/>
      <c r="G12" s="27">
        <v>74.5</v>
      </c>
      <c r="H12" s="27"/>
      <c r="I12" s="27">
        <v>70.5</v>
      </c>
      <c r="J12" s="27"/>
      <c r="K12" s="27">
        <v>60</v>
      </c>
      <c r="L12" s="27">
        <v>47.89</v>
      </c>
      <c r="M12" s="27"/>
      <c r="N12" s="27"/>
      <c r="O12" s="27"/>
      <c r="P12" s="27"/>
      <c r="Q12" s="27"/>
      <c r="R12" s="40">
        <f t="shared" si="0"/>
        <v>252.89</v>
      </c>
    </row>
    <row r="13" spans="1:27" s="14" customFormat="1" ht="11.5" customHeight="1">
      <c r="A13" s="25">
        <v>44901</v>
      </c>
      <c r="B13" s="26"/>
      <c r="C13" s="26"/>
      <c r="D13" s="26"/>
      <c r="E13" s="26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40">
        <f t="shared" si="0"/>
        <v>0</v>
      </c>
    </row>
    <row r="14" spans="1:27" s="14" customFormat="1" ht="11.5" customHeight="1">
      <c r="A14" s="25">
        <v>44902</v>
      </c>
      <c r="B14" s="26"/>
      <c r="C14" s="26"/>
      <c r="D14" s="26"/>
      <c r="E14" s="26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40">
        <f t="shared" si="0"/>
        <v>0</v>
      </c>
    </row>
    <row r="15" spans="1:27" s="14" customFormat="1" ht="11.5" customHeight="1">
      <c r="A15" s="25">
        <v>44903</v>
      </c>
      <c r="B15" s="26"/>
      <c r="C15" s="26"/>
      <c r="D15" s="26"/>
      <c r="E15" s="26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40">
        <f t="shared" si="0"/>
        <v>0</v>
      </c>
    </row>
    <row r="16" spans="1:27" s="14" customFormat="1" ht="11.5" customHeight="1">
      <c r="A16" s="25">
        <v>44904</v>
      </c>
      <c r="B16" s="26"/>
      <c r="C16" s="26"/>
      <c r="D16" s="26"/>
      <c r="E16" s="26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40">
        <f t="shared" si="0"/>
        <v>0</v>
      </c>
    </row>
    <row r="17" spans="1:18" s="14" customFormat="1" ht="11.5" customHeight="1">
      <c r="A17" s="25">
        <v>44905</v>
      </c>
      <c r="B17" s="26"/>
      <c r="C17" s="26"/>
      <c r="D17" s="26"/>
      <c r="E17" s="26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40">
        <f t="shared" si="0"/>
        <v>0</v>
      </c>
    </row>
    <row r="18" spans="1:18" s="14" customFormat="1" ht="11.5" customHeight="1">
      <c r="A18" s="25">
        <v>44906</v>
      </c>
      <c r="B18" s="26"/>
      <c r="C18" s="26"/>
      <c r="D18" s="26"/>
      <c r="E18" s="26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40">
        <f t="shared" si="0"/>
        <v>0</v>
      </c>
    </row>
    <row r="19" spans="1:18" s="14" customFormat="1" ht="11.5" customHeight="1">
      <c r="A19" s="25">
        <v>44907</v>
      </c>
      <c r="B19" s="26"/>
      <c r="C19" s="26"/>
      <c r="D19" s="26"/>
      <c r="E19" s="26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40">
        <f t="shared" si="0"/>
        <v>0</v>
      </c>
    </row>
    <row r="20" spans="1:18" s="14" customFormat="1" ht="11.5" customHeight="1">
      <c r="A20" s="25">
        <v>44908</v>
      </c>
      <c r="B20" s="26"/>
      <c r="C20" s="26"/>
      <c r="D20" s="26"/>
      <c r="E20" s="26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40">
        <f t="shared" si="0"/>
        <v>0</v>
      </c>
    </row>
    <row r="21" spans="1:18" s="14" customFormat="1" ht="11.5" customHeight="1">
      <c r="A21" s="25">
        <v>44909</v>
      </c>
      <c r="B21" s="26"/>
      <c r="C21" s="26"/>
      <c r="D21" s="26"/>
      <c r="E21" s="26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40">
        <f t="shared" si="0"/>
        <v>0</v>
      </c>
    </row>
    <row r="22" spans="1:18" s="14" customFormat="1" ht="11.5" customHeight="1">
      <c r="A22" s="25">
        <v>44910</v>
      </c>
      <c r="B22" s="26"/>
      <c r="C22" s="26"/>
      <c r="D22" s="26"/>
      <c r="E22" s="26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40">
        <f t="shared" si="0"/>
        <v>0</v>
      </c>
    </row>
    <row r="23" spans="1:18" s="14" customFormat="1" ht="11.5" customHeight="1">
      <c r="A23" s="25">
        <v>44911</v>
      </c>
      <c r="B23" s="26"/>
      <c r="C23" s="26"/>
      <c r="D23" s="26"/>
      <c r="E23" s="26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40">
        <f t="shared" si="0"/>
        <v>0</v>
      </c>
    </row>
    <row r="24" spans="1:18" s="14" customFormat="1" ht="11.5" customHeight="1">
      <c r="A24" s="25">
        <v>44912</v>
      </c>
      <c r="B24" s="26"/>
      <c r="C24" s="26"/>
      <c r="D24" s="26"/>
      <c r="E24" s="26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40">
        <f t="shared" si="0"/>
        <v>0</v>
      </c>
    </row>
    <row r="25" spans="1:18" s="14" customFormat="1" ht="11.5" customHeight="1">
      <c r="A25" s="25">
        <v>44913</v>
      </c>
      <c r="B25" s="26"/>
      <c r="C25" s="26"/>
      <c r="D25" s="26"/>
      <c r="E25" s="26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40">
        <f t="shared" si="0"/>
        <v>0</v>
      </c>
    </row>
    <row r="26" spans="1:18" s="14" customFormat="1" ht="11.5" customHeight="1">
      <c r="A26" s="25">
        <v>44914</v>
      </c>
      <c r="B26" s="26"/>
      <c r="C26" s="26"/>
      <c r="D26" s="26"/>
      <c r="E26" s="26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40">
        <f t="shared" si="0"/>
        <v>0</v>
      </c>
    </row>
    <row r="27" spans="1:18" s="14" customFormat="1" ht="11.5" customHeight="1">
      <c r="A27" s="25">
        <v>44915</v>
      </c>
      <c r="B27" s="26"/>
      <c r="C27" s="26"/>
      <c r="D27" s="26"/>
      <c r="E27" s="26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40">
        <f t="shared" si="0"/>
        <v>0</v>
      </c>
    </row>
    <row r="28" spans="1:18" s="14" customFormat="1" ht="11.5" customHeight="1">
      <c r="A28" s="25">
        <v>44916</v>
      </c>
      <c r="B28" s="26"/>
      <c r="C28" s="26"/>
      <c r="D28" s="26"/>
      <c r="E28" s="26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40">
        <f t="shared" si="0"/>
        <v>0</v>
      </c>
    </row>
    <row r="29" spans="1:18" s="14" customFormat="1" ht="11.5" customHeight="1">
      <c r="A29" s="25">
        <v>44917</v>
      </c>
      <c r="B29" s="26"/>
      <c r="C29" s="26"/>
      <c r="D29" s="26"/>
      <c r="E29" s="26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40">
        <f t="shared" si="0"/>
        <v>0</v>
      </c>
    </row>
    <row r="30" spans="1:18" s="14" customFormat="1" ht="11.5" customHeight="1">
      <c r="A30" s="25">
        <v>44918</v>
      </c>
      <c r="B30" s="26"/>
      <c r="C30" s="26"/>
      <c r="D30" s="26"/>
      <c r="E30" s="26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40">
        <f t="shared" si="0"/>
        <v>0</v>
      </c>
    </row>
    <row r="31" spans="1:18" s="14" customFormat="1" ht="11.5" customHeight="1">
      <c r="A31" s="25">
        <v>44919</v>
      </c>
      <c r="B31" s="26"/>
      <c r="C31" s="26"/>
      <c r="D31" s="26"/>
      <c r="E31" s="26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40">
        <f t="shared" si="0"/>
        <v>0</v>
      </c>
    </row>
    <row r="32" spans="1:18" s="14" customFormat="1" ht="11.5" customHeight="1">
      <c r="A32" s="25">
        <v>44920</v>
      </c>
      <c r="B32" s="26"/>
      <c r="C32" s="26"/>
      <c r="D32" s="26"/>
      <c r="E32" s="26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40">
        <f t="shared" si="0"/>
        <v>0</v>
      </c>
    </row>
    <row r="33" spans="1:20" s="14" customFormat="1" ht="11.5" customHeight="1">
      <c r="A33" s="25">
        <v>44921</v>
      </c>
      <c r="B33" s="26"/>
      <c r="C33" s="26"/>
      <c r="D33" s="26"/>
      <c r="E33" s="26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40">
        <f t="shared" si="0"/>
        <v>0</v>
      </c>
    </row>
    <row r="34" spans="1:20" s="14" customFormat="1" ht="11.5" customHeight="1">
      <c r="A34" s="25">
        <v>44922</v>
      </c>
      <c r="B34" s="26"/>
      <c r="C34" s="26"/>
      <c r="D34" s="26"/>
      <c r="E34" s="26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40">
        <f t="shared" si="0"/>
        <v>0</v>
      </c>
    </row>
    <row r="35" spans="1:20" s="14" customFormat="1" ht="11.5" customHeight="1">
      <c r="A35" s="25">
        <v>44923</v>
      </c>
      <c r="B35" s="26"/>
      <c r="C35" s="26"/>
      <c r="D35" s="26"/>
      <c r="E35" s="26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40">
        <f t="shared" si="0"/>
        <v>0</v>
      </c>
    </row>
    <row r="36" spans="1:20" s="14" customFormat="1" ht="11.5" customHeight="1">
      <c r="A36" s="25">
        <v>44924</v>
      </c>
      <c r="B36" s="26"/>
      <c r="C36" s="26"/>
      <c r="D36" s="26"/>
      <c r="E36" s="26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40">
        <f t="shared" si="0"/>
        <v>0</v>
      </c>
    </row>
    <row r="37" spans="1:20" s="14" customFormat="1" ht="11.5" customHeight="1">
      <c r="A37" s="25">
        <v>44925</v>
      </c>
      <c r="B37" s="26"/>
      <c r="C37" s="26"/>
      <c r="D37" s="26"/>
      <c r="E37" s="26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40">
        <f t="shared" si="0"/>
        <v>0</v>
      </c>
    </row>
    <row r="38" spans="1:20" s="14" customFormat="1" ht="11.5" customHeight="1">
      <c r="A38" s="25">
        <v>44926</v>
      </c>
      <c r="B38" s="26"/>
      <c r="C38" s="26"/>
      <c r="D38" s="26"/>
      <c r="E38" s="26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40">
        <f t="shared" si="0"/>
        <v>0</v>
      </c>
    </row>
    <row r="39" spans="1:20" s="15" customFormat="1" ht="11.5" customHeight="1">
      <c r="A39" s="28" t="s">
        <v>35</v>
      </c>
      <c r="B39" s="28"/>
      <c r="C39" s="28"/>
      <c r="D39" s="28"/>
      <c r="E39" s="28"/>
      <c r="F39" s="29">
        <f>SUM(F8:F38)</f>
        <v>0</v>
      </c>
      <c r="G39" s="29">
        <f t="shared" ref="G39:R39" si="1">SUM(G8:G38)</f>
        <v>149</v>
      </c>
      <c r="H39" s="29">
        <f t="shared" si="1"/>
        <v>0</v>
      </c>
      <c r="I39" s="29">
        <f t="shared" si="1"/>
        <v>117.7</v>
      </c>
      <c r="J39" s="29">
        <f t="shared" si="1"/>
        <v>0</v>
      </c>
      <c r="K39" s="29">
        <f t="shared" si="1"/>
        <v>480</v>
      </c>
      <c r="L39" s="29">
        <f t="shared" si="1"/>
        <v>107.87</v>
      </c>
      <c r="M39" s="29">
        <f t="shared" si="1"/>
        <v>0</v>
      </c>
      <c r="N39" s="29">
        <f t="shared" si="1"/>
        <v>0</v>
      </c>
      <c r="O39" s="29">
        <f t="shared" si="1"/>
        <v>0</v>
      </c>
      <c r="P39" s="29">
        <f t="shared" si="1"/>
        <v>0</v>
      </c>
      <c r="Q39" s="29">
        <f t="shared" si="1"/>
        <v>0</v>
      </c>
      <c r="R39" s="29">
        <f t="shared" si="1"/>
        <v>854.56999999999994</v>
      </c>
      <c r="T39" s="17"/>
    </row>
    <row r="40" spans="1:20" ht="11.5" customHeight="1">
      <c r="Q40" s="16"/>
      <c r="R40" s="16"/>
      <c r="S40" s="16"/>
    </row>
    <row r="41" spans="1:20" ht="11.5" customHeight="1">
      <c r="A41" s="23" t="s">
        <v>36</v>
      </c>
      <c r="B41" s="51" t="s">
        <v>37</v>
      </c>
      <c r="C41" s="51"/>
      <c r="D41" s="51" t="s">
        <v>38</v>
      </c>
      <c r="E41" s="51"/>
      <c r="F41" s="51"/>
      <c r="G41" s="50" t="s">
        <v>39</v>
      </c>
      <c r="H41" s="50"/>
      <c r="I41" s="24" t="s">
        <v>40</v>
      </c>
      <c r="J41" s="24" t="s">
        <v>41</v>
      </c>
      <c r="Q41" s="16"/>
      <c r="R41" s="16"/>
      <c r="S41" s="16"/>
    </row>
    <row r="42" spans="1:20" ht="11.5" customHeight="1">
      <c r="A42" s="28"/>
      <c r="B42" s="52"/>
      <c r="C42" s="53"/>
      <c r="D42" s="52"/>
      <c r="E42" s="54"/>
      <c r="F42" s="55"/>
      <c r="G42" s="56"/>
      <c r="H42" s="57"/>
      <c r="I42" s="37"/>
      <c r="J42" s="29"/>
      <c r="Q42" s="16"/>
      <c r="R42" s="16"/>
      <c r="S42" s="16"/>
    </row>
    <row r="43" spans="1:20" ht="11.5" customHeight="1">
      <c r="A43" s="30"/>
      <c r="B43" s="52"/>
      <c r="C43" s="55"/>
      <c r="D43" s="52"/>
      <c r="E43" s="54"/>
      <c r="F43" s="55"/>
      <c r="G43" s="58"/>
      <c r="H43" s="53"/>
      <c r="I43" s="31"/>
      <c r="J43" s="38"/>
      <c r="Q43" s="16"/>
      <c r="R43" s="16"/>
      <c r="S43" s="16"/>
    </row>
    <row r="44" spans="1:20" ht="17.25" customHeight="1">
      <c r="A44" s="30"/>
      <c r="B44" s="59"/>
      <c r="C44" s="55"/>
      <c r="D44" s="52"/>
      <c r="E44" s="54"/>
      <c r="F44" s="55"/>
      <c r="G44" s="58"/>
      <c r="H44" s="53"/>
      <c r="I44" s="31"/>
      <c r="J44" s="38"/>
      <c r="L44" s="16"/>
      <c r="M44" s="16"/>
      <c r="N44" s="16"/>
      <c r="O44" s="16"/>
      <c r="P44" s="16"/>
      <c r="Q44" s="16"/>
      <c r="R44" s="16"/>
      <c r="S44" s="16"/>
    </row>
    <row r="45" spans="1:20">
      <c r="A45" s="30"/>
      <c r="B45" s="52"/>
      <c r="C45" s="53"/>
      <c r="D45" s="52"/>
      <c r="E45" s="54"/>
      <c r="F45" s="55"/>
      <c r="G45" s="60"/>
      <c r="H45" s="61"/>
      <c r="I45" s="31"/>
      <c r="J45" s="38"/>
    </row>
    <row r="46" spans="1:20">
      <c r="A46" s="30" t="s">
        <v>35</v>
      </c>
      <c r="B46" s="59"/>
      <c r="C46" s="55"/>
      <c r="D46" s="59"/>
      <c r="E46" s="54"/>
      <c r="F46" s="55"/>
      <c r="G46" s="60"/>
      <c r="H46" s="61"/>
      <c r="I46" s="32"/>
      <c r="J46" s="38">
        <f>SUM(J42:J45)</f>
        <v>0</v>
      </c>
    </row>
  </sheetData>
  <protectedRanges>
    <protectedRange sqref="C3" name="区域1"/>
  </protectedRanges>
  <mergeCells count="40">
    <mergeCell ref="P6:P7"/>
    <mergeCell ref="Q6:Q7"/>
    <mergeCell ref="R6:R7"/>
    <mergeCell ref="B45:C45"/>
    <mergeCell ref="D45:F45"/>
    <mergeCell ref="G45:H45"/>
    <mergeCell ref="B46:C46"/>
    <mergeCell ref="D46:F46"/>
    <mergeCell ref="G46:H46"/>
    <mergeCell ref="B43:C43"/>
    <mergeCell ref="D43:F43"/>
    <mergeCell ref="G43:H43"/>
    <mergeCell ref="B44:C44"/>
    <mergeCell ref="D44:F44"/>
    <mergeCell ref="G44:H44"/>
    <mergeCell ref="B41:C41"/>
    <mergeCell ref="D41:F41"/>
    <mergeCell ref="G41:H41"/>
    <mergeCell ref="B42:C42"/>
    <mergeCell ref="D42:F42"/>
    <mergeCell ref="G42:H42"/>
    <mergeCell ref="A3:B3"/>
    <mergeCell ref="C3:H3"/>
    <mergeCell ref="K3:L3"/>
    <mergeCell ref="N3:O3"/>
    <mergeCell ref="F6:K6"/>
    <mergeCell ref="A6:A7"/>
    <mergeCell ref="B6:B7"/>
    <mergeCell ref="C6:C7"/>
    <mergeCell ref="D6:D7"/>
    <mergeCell ref="E6:E7"/>
    <mergeCell ref="L6:L7"/>
    <mergeCell ref="M6:M7"/>
    <mergeCell ref="N6:N7"/>
    <mergeCell ref="O6:O7"/>
    <mergeCell ref="A1:H1"/>
    <mergeCell ref="K1:L1"/>
    <mergeCell ref="N1:O1"/>
    <mergeCell ref="K2:L2"/>
    <mergeCell ref="N2:O2"/>
  </mergeCells>
  <phoneticPr fontId="7" type="noConversion"/>
  <pageMargins left="0.7" right="0.7" top="0.75" bottom="0.75" header="0.3" footer="0.3"/>
  <pageSetup paperSize="9" scale="73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40"/>
  <sheetViews>
    <sheetView tabSelected="1" topLeftCell="A6" zoomScale="85" zoomScaleNormal="85" workbookViewId="0">
      <selection activeCell="D13" sqref="D13:E13"/>
    </sheetView>
  </sheetViews>
  <sheetFormatPr baseColWidth="10" defaultColWidth="8.6640625" defaultRowHeight="15"/>
  <cols>
    <col min="1" max="1" width="16.83203125" customWidth="1"/>
    <col min="2" max="2" width="13.1640625" customWidth="1"/>
    <col min="3" max="3" width="15.1640625" customWidth="1"/>
    <col min="4" max="4" width="12.33203125" customWidth="1"/>
    <col min="5" max="5" width="11" customWidth="1"/>
    <col min="6" max="6" width="15" customWidth="1"/>
    <col min="9" max="9" width="11.5" customWidth="1"/>
  </cols>
  <sheetData>
    <row r="1" spans="1:11" ht="24" customHeight="1">
      <c r="A1" s="68" t="s">
        <v>42</v>
      </c>
      <c r="B1" s="68"/>
      <c r="C1" s="68"/>
      <c r="D1" s="68"/>
      <c r="E1" s="68"/>
      <c r="F1" s="68"/>
      <c r="G1" s="1"/>
      <c r="H1" s="1"/>
      <c r="I1" s="1"/>
    </row>
    <row r="2" spans="1:11" ht="20" customHeight="1">
      <c r="A2" s="2" t="s">
        <v>1</v>
      </c>
      <c r="B2" s="69"/>
      <c r="C2" s="69"/>
      <c r="D2" s="2" t="s">
        <v>43</v>
      </c>
      <c r="E2" s="69"/>
      <c r="F2" s="69"/>
    </row>
    <row r="3" spans="1:11" ht="20" customHeight="1">
      <c r="A3" s="3" t="s">
        <v>44</v>
      </c>
      <c r="B3" s="69" t="s">
        <v>45</v>
      </c>
      <c r="C3" s="69"/>
      <c r="D3" s="2" t="s">
        <v>46</v>
      </c>
      <c r="E3" s="69"/>
      <c r="F3" s="69"/>
    </row>
    <row r="4" spans="1:11" ht="20" customHeight="1">
      <c r="A4" s="4" t="s">
        <v>47</v>
      </c>
      <c r="B4" s="70"/>
      <c r="C4" s="70"/>
      <c r="D4" s="4" t="s">
        <v>48</v>
      </c>
      <c r="E4" s="70"/>
      <c r="F4" s="70"/>
    </row>
    <row r="5" spans="1:11" ht="20" customHeight="1">
      <c r="A5" s="4" t="s">
        <v>49</v>
      </c>
      <c r="B5" s="70"/>
      <c r="C5" s="70"/>
      <c r="D5" s="4" t="s">
        <v>50</v>
      </c>
      <c r="E5" s="70"/>
      <c r="F5" s="70"/>
    </row>
    <row r="6" spans="1:11" ht="20" customHeight="1">
      <c r="A6" s="71" t="s">
        <v>51</v>
      </c>
      <c r="B6" s="71"/>
      <c r="C6" s="71"/>
      <c r="D6" s="71"/>
      <c r="E6" s="71"/>
      <c r="F6" s="71"/>
      <c r="G6" s="5"/>
      <c r="H6" s="5"/>
      <c r="I6" s="5"/>
      <c r="J6" s="5"/>
      <c r="K6" s="5"/>
    </row>
    <row r="7" spans="1:11" ht="20" customHeight="1"/>
    <row r="8" spans="1:11">
      <c r="A8" s="6" t="s">
        <v>52</v>
      </c>
      <c r="B8" s="6" t="s">
        <v>24</v>
      </c>
      <c r="C8" s="6" t="s">
        <v>53</v>
      </c>
      <c r="D8" s="72" t="s">
        <v>54</v>
      </c>
      <c r="E8" s="73"/>
      <c r="F8" s="6" t="s">
        <v>41</v>
      </c>
    </row>
    <row r="9" spans="1:11">
      <c r="A9" s="7">
        <v>44896</v>
      </c>
      <c r="B9" s="8"/>
      <c r="C9" s="76"/>
      <c r="D9" s="77"/>
      <c r="E9" s="78"/>
      <c r="F9" s="2"/>
    </row>
    <row r="10" spans="1:11">
      <c r="A10" s="7">
        <v>44897</v>
      </c>
      <c r="B10" s="9"/>
      <c r="C10" s="10"/>
      <c r="D10" s="77"/>
      <c r="E10" s="78"/>
      <c r="F10" s="2"/>
    </row>
    <row r="11" spans="1:11">
      <c r="A11" s="7">
        <v>44898</v>
      </c>
      <c r="B11" s="9"/>
      <c r="C11" s="9"/>
      <c r="D11" s="77"/>
      <c r="E11" s="78"/>
      <c r="F11" s="2"/>
    </row>
    <row r="12" spans="1:11">
      <c r="A12" s="7">
        <v>44899</v>
      </c>
      <c r="B12" s="9"/>
      <c r="C12" s="9"/>
      <c r="D12" s="77"/>
      <c r="E12" s="78"/>
      <c r="F12" s="2"/>
    </row>
    <row r="13" spans="1:11">
      <c r="A13" s="7">
        <v>44900</v>
      </c>
      <c r="B13" s="9"/>
      <c r="C13" s="9"/>
      <c r="D13" s="77"/>
      <c r="E13" s="78"/>
      <c r="F13" s="2"/>
    </row>
    <row r="14" spans="1:11">
      <c r="A14" s="7">
        <v>44901</v>
      </c>
      <c r="B14" s="9"/>
      <c r="C14" s="9"/>
      <c r="D14" s="77"/>
      <c r="E14" s="78"/>
      <c r="F14" s="2"/>
    </row>
    <row r="15" spans="1:11">
      <c r="A15" s="7">
        <v>44902</v>
      </c>
      <c r="B15" s="9"/>
      <c r="C15" s="9"/>
      <c r="D15" s="77"/>
      <c r="E15" s="78"/>
      <c r="F15" s="2"/>
    </row>
    <row r="16" spans="1:11">
      <c r="A16" s="7">
        <v>44903</v>
      </c>
      <c r="B16" s="9"/>
      <c r="C16" s="9"/>
      <c r="D16" s="77"/>
      <c r="E16" s="78"/>
      <c r="F16" s="2"/>
    </row>
    <row r="17" spans="1:6">
      <c r="A17" s="7">
        <v>44904</v>
      </c>
      <c r="B17" s="9"/>
      <c r="C17" s="9"/>
      <c r="D17" s="77"/>
      <c r="E17" s="78"/>
      <c r="F17" s="2"/>
    </row>
    <row r="18" spans="1:6">
      <c r="A18" s="7">
        <v>44905</v>
      </c>
      <c r="B18" s="9"/>
      <c r="C18" s="9"/>
      <c r="D18" s="77"/>
      <c r="E18" s="78"/>
      <c r="F18" s="2"/>
    </row>
    <row r="19" spans="1:6">
      <c r="A19" s="7">
        <v>44906</v>
      </c>
      <c r="B19" s="9"/>
      <c r="C19" s="9"/>
      <c r="D19" s="77"/>
      <c r="E19" s="78"/>
      <c r="F19" s="2"/>
    </row>
    <row r="20" spans="1:6">
      <c r="A20" s="7">
        <v>44907</v>
      </c>
      <c r="B20" s="9"/>
      <c r="C20" s="9"/>
      <c r="D20" s="77"/>
      <c r="E20" s="78"/>
      <c r="F20" s="2"/>
    </row>
    <row r="21" spans="1:6">
      <c r="A21" s="7">
        <v>44908</v>
      </c>
      <c r="B21" s="9"/>
      <c r="C21" s="9"/>
      <c r="D21" s="77"/>
      <c r="E21" s="78"/>
      <c r="F21" s="2"/>
    </row>
    <row r="22" spans="1:6">
      <c r="A22" s="7">
        <v>44909</v>
      </c>
      <c r="B22" s="9"/>
      <c r="C22" s="9"/>
      <c r="D22" s="77"/>
      <c r="E22" s="78"/>
      <c r="F22" s="2"/>
    </row>
    <row r="23" spans="1:6">
      <c r="A23" s="7">
        <v>44910</v>
      </c>
      <c r="B23" s="9"/>
      <c r="C23" s="9"/>
      <c r="D23" s="77"/>
      <c r="E23" s="78"/>
      <c r="F23" s="2"/>
    </row>
    <row r="24" spans="1:6">
      <c r="A24" s="7">
        <v>44911</v>
      </c>
      <c r="B24" s="9"/>
      <c r="C24" s="9"/>
      <c r="D24" s="77"/>
      <c r="E24" s="78"/>
      <c r="F24" s="2"/>
    </row>
    <row r="25" spans="1:6">
      <c r="A25" s="7">
        <v>44912</v>
      </c>
      <c r="B25" s="9"/>
      <c r="C25" s="9"/>
      <c r="D25" s="77"/>
      <c r="E25" s="78"/>
      <c r="F25" s="2"/>
    </row>
    <row r="26" spans="1:6">
      <c r="A26" s="7">
        <v>44913</v>
      </c>
      <c r="B26" s="9"/>
      <c r="C26" s="9"/>
      <c r="D26" s="77"/>
      <c r="E26" s="78"/>
      <c r="F26" s="2"/>
    </row>
    <row r="27" spans="1:6">
      <c r="A27" s="7">
        <v>44914</v>
      </c>
      <c r="B27" s="9"/>
      <c r="C27" s="9"/>
      <c r="D27" s="77"/>
      <c r="E27" s="78"/>
      <c r="F27" s="2"/>
    </row>
    <row r="28" spans="1:6">
      <c r="A28" s="7">
        <v>44915</v>
      </c>
      <c r="B28" s="9"/>
      <c r="C28" s="9"/>
      <c r="D28" s="77"/>
      <c r="E28" s="78"/>
      <c r="F28" s="2"/>
    </row>
    <row r="29" spans="1:6">
      <c r="A29" s="7">
        <v>44916</v>
      </c>
      <c r="B29" s="9"/>
      <c r="C29" s="9"/>
      <c r="D29" s="77"/>
      <c r="E29" s="78"/>
      <c r="F29" s="2"/>
    </row>
    <row r="30" spans="1:6">
      <c r="A30" s="7">
        <v>44917</v>
      </c>
      <c r="B30" s="9"/>
      <c r="C30" s="9"/>
      <c r="D30" s="77"/>
      <c r="E30" s="78"/>
      <c r="F30" s="2"/>
    </row>
    <row r="31" spans="1:6">
      <c r="A31" s="7">
        <v>44918</v>
      </c>
      <c r="B31" s="9"/>
      <c r="C31" s="9"/>
      <c r="D31" s="77"/>
      <c r="E31" s="78"/>
      <c r="F31" s="2"/>
    </row>
    <row r="32" spans="1:6">
      <c r="A32" s="7">
        <v>44919</v>
      </c>
      <c r="B32" s="9"/>
      <c r="C32" s="9"/>
      <c r="D32" s="77"/>
      <c r="E32" s="78"/>
      <c r="F32" s="2"/>
    </row>
    <row r="33" spans="1:6">
      <c r="A33" s="7">
        <v>44920</v>
      </c>
      <c r="B33" s="9"/>
      <c r="C33" s="9"/>
      <c r="D33" s="77"/>
      <c r="E33" s="78"/>
      <c r="F33" s="2"/>
    </row>
    <row r="34" spans="1:6">
      <c r="A34" s="7">
        <v>44921</v>
      </c>
      <c r="B34" s="9"/>
      <c r="C34" s="9"/>
      <c r="D34" s="77"/>
      <c r="E34" s="78"/>
      <c r="F34" s="2"/>
    </row>
    <row r="35" spans="1:6">
      <c r="A35" s="7">
        <v>44922</v>
      </c>
      <c r="B35" s="9"/>
      <c r="C35" s="9"/>
      <c r="D35" s="77"/>
      <c r="E35" s="78"/>
      <c r="F35" s="2"/>
    </row>
    <row r="36" spans="1:6">
      <c r="A36" s="7">
        <v>44923</v>
      </c>
      <c r="B36" s="9"/>
      <c r="C36" s="9"/>
      <c r="D36" s="77"/>
      <c r="E36" s="78"/>
      <c r="F36" s="2"/>
    </row>
    <row r="37" spans="1:6">
      <c r="A37" s="7">
        <v>44924</v>
      </c>
      <c r="B37" s="9"/>
      <c r="C37" s="9"/>
      <c r="D37" s="77"/>
      <c r="E37" s="78"/>
      <c r="F37" s="2"/>
    </row>
    <row r="38" spans="1:6">
      <c r="A38" s="7">
        <v>44925</v>
      </c>
      <c r="B38" s="9"/>
      <c r="C38" s="9"/>
      <c r="D38" s="77"/>
      <c r="E38" s="78"/>
      <c r="F38" s="2"/>
    </row>
    <row r="39" spans="1:6">
      <c r="A39" s="7">
        <v>44926</v>
      </c>
      <c r="B39" s="10"/>
      <c r="C39" s="10"/>
      <c r="D39" s="77"/>
      <c r="E39" s="78"/>
      <c r="F39" s="11"/>
    </row>
    <row r="40" spans="1:6">
      <c r="A40" s="12" t="s">
        <v>35</v>
      </c>
      <c r="B40" s="13"/>
      <c r="C40" s="13"/>
      <c r="D40" s="74"/>
      <c r="E40" s="75"/>
      <c r="F40" s="11">
        <f>SUM(F9:F39)</f>
        <v>0</v>
      </c>
    </row>
  </sheetData>
  <mergeCells count="43">
    <mergeCell ref="D38:E38"/>
    <mergeCell ref="D39:E39"/>
    <mergeCell ref="D40:E40"/>
    <mergeCell ref="D33:E33"/>
    <mergeCell ref="D34:E34"/>
    <mergeCell ref="D35:E35"/>
    <mergeCell ref="D36:E36"/>
    <mergeCell ref="D37:E37"/>
    <mergeCell ref="D28:E28"/>
    <mergeCell ref="D29:E29"/>
    <mergeCell ref="D30:E30"/>
    <mergeCell ref="D31:E31"/>
    <mergeCell ref="D32:E32"/>
    <mergeCell ref="D23:E23"/>
    <mergeCell ref="D24:E24"/>
    <mergeCell ref="D25:E25"/>
    <mergeCell ref="D26:E26"/>
    <mergeCell ref="D27:E27"/>
    <mergeCell ref="D18:E18"/>
    <mergeCell ref="D19:E19"/>
    <mergeCell ref="D20:E20"/>
    <mergeCell ref="D21:E21"/>
    <mergeCell ref="D22:E22"/>
    <mergeCell ref="D13:E13"/>
    <mergeCell ref="D14:E14"/>
    <mergeCell ref="D15:E15"/>
    <mergeCell ref="D16:E16"/>
    <mergeCell ref="D17:E17"/>
    <mergeCell ref="D8:E8"/>
    <mergeCell ref="D9:E9"/>
    <mergeCell ref="D10:E10"/>
    <mergeCell ref="D11:E11"/>
    <mergeCell ref="D12:E12"/>
    <mergeCell ref="B4:C4"/>
    <mergeCell ref="E4:F4"/>
    <mergeCell ref="B5:C5"/>
    <mergeCell ref="E5:F5"/>
    <mergeCell ref="A6:F6"/>
    <mergeCell ref="A1:F1"/>
    <mergeCell ref="B2:C2"/>
    <mergeCell ref="E2:F2"/>
    <mergeCell ref="B3:C3"/>
    <mergeCell ref="E3:F3"/>
  </mergeCells>
  <phoneticPr fontId="7" type="noConversion"/>
  <dataValidations count="2">
    <dataValidation type="list" allowBlank="1" showInputMessage="1" showErrorMessage="1" sqref="B3:C3" xr:uid="{00000000-0002-0000-0100-000000000000}">
      <formula1>"差旅,Base地交通费,招待,团建,其他费用"</formula1>
    </dataValidation>
    <dataValidation type="list" allowBlank="1" showInputMessage="1" showErrorMessage="1" sqref="E4:F4" xr:uid="{00000000-0002-0000-0100-000001000000}">
      <formula1>"售前,交付,运维,验收"</formula1>
    </dataValidation>
  </dataValidations>
  <pageMargins left="0.75" right="0.75" top="1" bottom="1" header="0.5" footer="0.5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>
    <arrUserId title="区域1" rangeCreator="" othersAccessPermission="edit"/>
  </rangeList>
  <rangeList sheetStid="3" master="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2</vt:i4>
      </vt:variant>
    </vt:vector>
  </HeadingPairs>
  <TitlesOfParts>
    <vt:vector size="4" baseType="lpstr">
      <vt:lpstr>Sheet1</vt:lpstr>
      <vt:lpstr>Base地交通费</vt:lpstr>
      <vt:lpstr>Base地交通费!Print_Area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</dc:creator>
  <cp:lastModifiedBy>SCR</cp:lastModifiedBy>
  <dcterms:created xsi:type="dcterms:W3CDTF">2015-06-05T18:19:00Z</dcterms:created>
  <dcterms:modified xsi:type="dcterms:W3CDTF">2026-05-11T17:44:50Z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2052-11.1.0.13703</vt:lpwstr>
  </property>
  <property fmtid="{D5CDD505-2E9C-101B-9397-08002B2CF9AE}" pid="3" name="ICV">
    <vt:lpwstr>2A710848BFA646F4973DEEA037291056</vt:lpwstr>
  </property>
</Properties>
</file>