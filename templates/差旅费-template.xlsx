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/>
  <mc:AlternateContent xmlns:mc="http://schemas.openxmlformats.org/markup-compatibility/2006">
    <mc:Choice Requires="x15">
      <x15ac:absPath xmlns:x15ac="http://schemas.microsoft.com/office/spreadsheetml/2010/11/ac" url="/Users/scr/.hermes/skills/productivity/travel-expense-fill/templates/"/>
    </mc:Choice>
  </mc:AlternateContent>
  <xr:revisionPtr revIDLastSave="0" documentId="13_ncr:1_{0CCC4849-0FA5-C24C-B81F-5E71EA912B36}" xr6:coauthVersionLast="47" xr6:coauthVersionMax="47" xr10:uidLastSave="{00000000-0000-0000-0000-000000000000}"/>
  <bookViews>
    <workbookView xWindow="0" yWindow="500" windowWidth="28800" windowHeight="15960" activeTab="1" xr2:uid="{00000000-000D-0000-FFFF-FFFF00000000}"/>
  </bookViews>
  <sheets>
    <sheet name="Sheet1" sheetId="1" state="hidden" r:id="rId1"/>
    <sheet name="差旅" sheetId="2" r:id="rId2"/>
  </sheets>
  <definedNames>
    <definedName name="_xlnm.Print_Area" localSheetId="0">Sheet1!$A$1:$R$46</definedName>
    <definedName name="_xlnm.Print_Area" localSheetId="1">差旅!$A$1:$M$41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K41" i="2"/>
  <c r="J41" i="2"/>
  <c r="I41" i="2"/>
  <c r="H41" i="2"/>
  <c r="G41" i="2"/>
  <c r="F41" i="2"/>
  <c r="J4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N3" i="1"/>
  <c r="K3" i="1"/>
</calcChain>
</file>

<file path=xl/sharedStrings.xml><?xml version="1.0" encoding="utf-8"?>
<sst xmlns="http://schemas.openxmlformats.org/spreadsheetml/2006/main" count="107" uniqueCount="54">
  <si>
    <t>腾云悦智科技（深圳）有限责任公司 —— 个人费用报告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</si>
  <si>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姓  名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</si>
  <si>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职位级别</t>
    </r>
  </si>
  <si>
    <t>* 为必填项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</si>
  <si>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项目leader</t>
    </r>
  </si>
  <si>
    <t>对接商务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</si>
  <si>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出差事由/项目名称：</t>
    </r>
  </si>
  <si>
    <t>12月出差深圳费用/团建/招待/项目名称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</si>
  <si>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时间期限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</si>
  <si>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TO</t>
    </r>
  </si>
  <si>
    <t>日期</t>
  </si>
  <si>
    <r>
      <rPr>
        <b/>
        <sz val="8"/>
        <color rgb="FFFF0000"/>
        <rFont val="等线"/>
        <family val="4"/>
        <charset val="134"/>
        <scheme val="minor"/>
      </rPr>
      <t xml:space="preserve">*
</t>
    </r>
    <r>
      <rPr>
        <b/>
        <sz val="9"/>
        <color rgb="FFFF0000"/>
        <rFont val="等线"/>
        <family val="4"/>
        <charset val="134"/>
        <scheme val="minor"/>
      </rPr>
      <t xml:space="preserve"> </t>
    </r>
    <r>
      <rPr>
        <b/>
        <sz val="9"/>
        <color theme="1"/>
        <rFont val="等线"/>
        <family val="4"/>
        <charset val="134"/>
        <scheme val="minor"/>
      </rPr>
      <t>base城市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</si>
  <si>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出发地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</si>
  <si>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出差地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</si>
  <si>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事由</t>
    </r>
  </si>
  <si>
    <t>差旅费</t>
  </si>
  <si>
    <t>Base城市内交通费</t>
  </si>
  <si>
    <t>办公费</t>
  </si>
  <si>
    <t>招待费</t>
  </si>
  <si>
    <t>团建费</t>
  </si>
  <si>
    <t>其他支出</t>
  </si>
  <si>
    <t>备注（交通费事由、出发地-目的地；其他费用事由）</t>
  </si>
  <si>
    <t>报销合计</t>
  </si>
  <si>
    <t>base城市</t>
  </si>
  <si>
    <t>出发地</t>
  </si>
  <si>
    <t>出差地</t>
  </si>
  <si>
    <t>机票</t>
  </si>
  <si>
    <t>高铁/
动车</t>
  </si>
  <si>
    <t>大巴/
轮船</t>
  </si>
  <si>
    <t>目的地交通费</t>
  </si>
  <si>
    <t>住宿</t>
  </si>
  <si>
    <t>当日补贴</t>
  </si>
  <si>
    <t>广州</t>
  </si>
  <si>
    <t>深圳</t>
  </si>
  <si>
    <t>出差</t>
  </si>
  <si>
    <t>合计</t>
  </si>
  <si>
    <t>招待时间</t>
  </si>
  <si>
    <t>招待对象</t>
  </si>
  <si>
    <t>招待对象级别/职位</t>
  </si>
  <si>
    <t>招待地点</t>
  </si>
  <si>
    <t>招待目的</t>
  </si>
  <si>
    <t>费用</t>
  </si>
  <si>
    <t>腾云悦智科技（深圳）有限责任公司 —— 个人费用报告（差旅费）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</si>
  <si>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工号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</si>
  <si>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报销类型</t>
    </r>
  </si>
  <si>
    <t>差旅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</si>
  <si>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汇报对象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</si>
  <si>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项目编号/商机编号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</si>
  <si>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项目状态</t>
    </r>
  </si>
  <si>
    <t>售前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</si>
  <si>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项目名称/商机名称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</si>
  <si>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项目经理</t>
    </r>
  </si>
  <si>
    <t>项目编号是公司麒麟系统项目立项编号，不是PO单号；商机编号是麒麟系统商机立项编号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</si>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</sst>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.00_ ;_ * \-#,##0.00_ ;_ * &quot;-&quot;??_ ;_ @_ "/>
  </numFmts>
  <fonts count="9">
    <font>
      <sz val="11"/>
      <color theme="1"/>
      <name val="等线"/>
      <charset val="134"/>
      <scheme val="minor"/>
    </font>
    <font>
      <sz val="9"/>
      <color theme="1"/>
      <name val="等线"/>
      <family val="4"/>
      <charset val="134"/>
      <scheme val="minor"/>
    </font>
    <font>
      <b/>
      <sz val="9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9"/>
      <color rgb="FFFF0000"/>
      <name val="等线"/>
      <family val="4"/>
      <charset val="134"/>
      <scheme val="minor"/>
    </font>
    <font>
      <b/>
      <sz val="8"/>
      <color theme="1"/>
      <name val="等线"/>
      <family val="4"/>
      <charset val="134"/>
      <scheme val="minor"/>
    </font>
    <font>
      <sz val="9"/>
      <color rgb="FFFF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8"/>
      <color rgb="FFFF000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39" fontId="0" fillId="2" borderId="0" xfId="0" applyNumberForma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9" fontId="2" fillId="3" borderId="4" xfId="0" applyNumberFormat="1" applyFont="1" applyFill="1" applyBorder="1" applyAlignment="1">
      <alignment horizontal="center" vertical="center"/>
    </xf>
    <xf numFmtId="39" fontId="2" fillId="3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39" fontId="1" fillId="4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9" fontId="2" fillId="2" borderId="4" xfId="0" applyNumberFormat="1" applyFont="1" applyFill="1" applyBorder="1" applyAlignment="1">
      <alignment horizontal="center" vertical="center"/>
    </xf>
    <xf numFmtId="0" fontId="0" fillId="2" borderId="0" xfId="0" applyFill="1"/>
    <xf numFmtId="39" fontId="1" fillId="4" borderId="1" xfId="0" applyNumberFormat="1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3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39" fontId="0" fillId="2" borderId="0" xfId="0" applyNumberFormat="1" applyFill="1" applyAlignment="1">
      <alignment vertical="center"/>
    </xf>
    <xf numFmtId="0" fontId="0" fillId="2" borderId="4" xfId="0" applyFill="1" applyBorder="1" applyAlignment="1">
      <alignment horizontal="center" vertical="center"/>
    </xf>
    <xf numFmtId="39" fontId="0" fillId="2" borderId="1" xfId="0" applyNumberFormat="1" applyFill="1" applyBorder="1" applyAlignment="1">
      <alignment horizontal="center" vertical="center" wrapText="1"/>
    </xf>
    <xf numFmtId="39" fontId="0" fillId="2" borderId="1" xfId="0" applyNumberFormat="1" applyFill="1" applyBorder="1" applyAlignment="1">
      <alignment horizontal="center" vertical="center"/>
    </xf>
    <xf numFmtId="39" fontId="2" fillId="3" borderId="2" xfId="0" applyNumberFormat="1" applyFont="1" applyFill="1" applyBorder="1" applyAlignment="1">
      <alignment horizontal="center" vertical="center"/>
    </xf>
    <xf numFmtId="3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9" fontId="6" fillId="4" borderId="4" xfId="0" applyNumberFormat="1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 wrapText="1"/>
    </xf>
    <xf numFmtId="39" fontId="0" fillId="2" borderId="4" xfId="0" applyNumberFormat="1" applyFill="1" applyBorder="1" applyAlignment="1">
      <alignment horizontal="center" vertical="center" wrapText="1"/>
    </xf>
    <xf numFmtId="178" fontId="1" fillId="2" borderId="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9" fontId="2" fillId="4" borderId="4" xfId="0" applyNumberFormat="1" applyFont="1" applyFill="1" applyBorder="1" applyAlignment="1">
      <alignment horizontal="center" vertical="center"/>
    </xf>
    <xf numFmtId="39" fontId="2" fillId="5" borderId="4" xfId="0" applyNumberFormat="1" applyFont="1" applyFill="1" applyBorder="1" applyAlignment="1">
      <alignment horizontal="center" vertical="center"/>
    </xf>
    <xf numFmtId="39" fontId="2" fillId="3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39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/>
    </xf>
    <xf numFmtId="39" fontId="2" fillId="2" borderId="2" xfId="0" applyNumberFormat="1" applyFont="1" applyFill="1" applyBorder="1" applyAlignment="1">
      <alignment horizontal="center" vertical="center"/>
    </xf>
    <xf numFmtId="3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39" fontId="0" fillId="2" borderId="1" xfId="0" applyNumberFormat="1" applyFill="1" applyBorder="1" applyAlignment="1">
      <alignment horizontal="center" vertical="center"/>
    </xf>
    <xf numFmtId="39" fontId="0" fillId="2" borderId="2" xfId="0" applyNumberForma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39" fontId="2" fillId="3" borderId="4" xfId="0" applyNumberFormat="1" applyFont="1" applyFill="1" applyBorder="1" applyAlignment="1">
      <alignment horizontal="center" vertical="center" wrapText="1"/>
    </xf>
    <xf numFmtId="39" fontId="2" fillId="3" borderId="7" xfId="0" applyNumberFormat="1" applyFont="1" applyFill="1" applyBorder="1" applyAlignment="1">
      <alignment horizontal="center" vertical="center" wrapText="1"/>
    </xf>
    <xf numFmtId="39" fontId="2" fillId="3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9" fontId="2" fillId="0" borderId="1" xfId="0" applyNumberFormat="1" applyFont="1" applyBorder="1" applyAlignment="1">
      <alignment horizontal="center" vertical="center"/>
    </xf>
    <xf numFmtId="39" fontId="2" fillId="0" borderId="2" xfId="0" applyNumberFormat="1" applyFont="1" applyBorder="1" applyAlignment="1">
      <alignment horizontal="center" vertical="center"/>
    </xf>
    <xf numFmtId="39" fontId="2" fillId="0" borderId="3" xfId="0" applyNumberFormat="1" applyFont="1" applyBorder="1" applyAlignment="1">
      <alignment horizontal="center" vertical="center"/>
    </xf>
    <xf numFmtId="39" fontId="2" fillId="0" borderId="4" xfId="0" applyNumberFormat="1" applyFont="1" applyBorder="1" applyAlignment="1">
      <alignment horizontal="center" vertical="center"/>
    </xf>
    <xf numFmtId="39" fontId="4" fillId="0" borderId="0" xfId="0" applyNumberFormat="1" applyFont="1" applyAlignment="1">
      <alignment horizontal="left" vertical="center"/>
    </xf>
    <xf numFmtId="39" fontId="2" fillId="3" borderId="5" xfId="0" applyNumberFormat="1" applyFont="1" applyFill="1" applyBorder="1" applyAlignment="1">
      <alignment horizontal="center" vertical="center" wrapText="1"/>
    </xf>
    <xf numFmtId="39" fontId="2" fillId="3" borderId="6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topLeftCell="A10" zoomScale="85" zoomScaleNormal="85" workbookViewId="0">
      <selection activeCell="A21" sqref="A21"/>
    </sheetView>
  </sheetViews>
  <sheetFormatPr baseColWidth="10" defaultColWidth="9" defaultRowHeight="15"/>
  <cols>
    <col min="1" max="1" width="10.83203125" style="3" customWidth="1"/>
    <col min="2" max="2" width="9.1640625" style="3" customWidth="1"/>
    <col min="3" max="3" width="7.83203125" style="3" customWidth="1"/>
    <col min="4" max="4" width="8.6640625" style="3" customWidth="1"/>
    <col min="5" max="5" width="12.1640625" style="3" customWidth="1"/>
    <col min="6" max="6" width="7.6640625" style="4" customWidth="1"/>
    <col min="7" max="8" width="7.5" style="4" customWidth="1"/>
    <col min="9" max="9" width="10.33203125" style="4" customWidth="1"/>
    <col min="10" max="10" width="9.83203125" style="4" customWidth="1"/>
    <col min="11" max="11" width="7.1640625" style="4" customWidth="1"/>
    <col min="12" max="12" width="7.5" style="4" customWidth="1"/>
    <col min="13" max="13" width="12" style="4" customWidth="1"/>
    <col min="14" max="14" width="8.33203125" style="4" customWidth="1"/>
    <col min="15" max="15" width="8.83203125" style="4" customWidth="1"/>
    <col min="16" max="16" width="12.1640625" style="4" customWidth="1"/>
    <col min="17" max="17" width="18.5" style="4" customWidth="1"/>
    <col min="18" max="18" width="8" style="4" customWidth="1"/>
    <col min="19" max="19" width="9.5" style="4" customWidth="1"/>
    <col min="20" max="20" width="9" style="4"/>
    <col min="21" max="16384" width="9" style="3"/>
  </cols>
  <sheetData>
    <row r="1" spans="1:27" ht="15.75" customHeight="1">
      <c r="A1" s="31" t="s">
        <v>0</v>
      </c>
      <c r="B1" s="31"/>
      <c r="C1" s="31"/>
      <c r="D1" s="31"/>
      <c r="E1" s="31"/>
      <c r="F1" s="31"/>
      <c r="G1" s="31"/>
      <c r="H1" s="32"/>
      <c r="J1" s="24" t="s">
        <v>1</v>
      </c>
      <c r="K1" s="33"/>
      <c r="L1" s="33"/>
      <c r="M1" s="6" t="s">
        <v>2</v>
      </c>
      <c r="N1" s="34"/>
      <c r="O1" s="34"/>
      <c r="P1" s="25"/>
      <c r="Q1" s="25"/>
      <c r="R1" s="25"/>
      <c r="S1" s="3"/>
    </row>
    <row r="2" spans="1:27" ht="15.75" customHeight="1">
      <c r="A2" s="16"/>
      <c r="B2" s="16"/>
      <c r="C2" s="17"/>
      <c r="D2" s="17"/>
      <c r="E2" s="17"/>
      <c r="F2" s="18"/>
      <c r="G2" s="18"/>
      <c r="H2" s="16" t="s">
        <v>3</v>
      </c>
      <c r="I2" s="16"/>
      <c r="J2" s="24" t="s">
        <v>4</v>
      </c>
      <c r="K2" s="33"/>
      <c r="L2" s="33"/>
      <c r="M2" s="6" t="s">
        <v>5</v>
      </c>
      <c r="N2" s="34"/>
      <c r="O2" s="34"/>
      <c r="P2" s="25"/>
      <c r="Q2" s="25"/>
      <c r="R2" s="25"/>
      <c r="S2" s="3"/>
    </row>
    <row r="3" spans="1:27" ht="15.75" customHeight="1">
      <c r="A3" s="35" t="s">
        <v>6</v>
      </c>
      <c r="B3" s="35"/>
      <c r="C3" s="36" t="s">
        <v>7</v>
      </c>
      <c r="D3" s="37"/>
      <c r="E3" s="37"/>
      <c r="F3" s="37"/>
      <c r="G3" s="37"/>
      <c r="H3" s="38"/>
      <c r="J3" s="24" t="s">
        <v>8</v>
      </c>
      <c r="K3" s="39">
        <f>A8</f>
        <v>44896</v>
      </c>
      <c r="L3" s="39"/>
      <c r="M3" s="6" t="s">
        <v>9</v>
      </c>
      <c r="N3" s="39">
        <f>A12</f>
        <v>44900</v>
      </c>
      <c r="O3" s="39"/>
      <c r="P3" s="26"/>
      <c r="Q3" s="26"/>
      <c r="R3" s="26"/>
      <c r="S3" s="3"/>
    </row>
    <row r="4" spans="1:27" ht="8" customHeight="1">
      <c r="B4" s="19"/>
      <c r="C4" s="19"/>
      <c r="D4" s="19"/>
      <c r="E4" s="19"/>
      <c r="F4" s="20"/>
      <c r="G4" s="20"/>
      <c r="H4" s="20"/>
      <c r="I4" s="20"/>
    </row>
    <row r="5" spans="1:27" ht="8" customHeight="1"/>
    <row r="6" spans="1:27" customFormat="1" ht="16.5" customHeight="1">
      <c r="A6" s="41" t="s">
        <v>10</v>
      </c>
      <c r="B6" s="52" t="s">
        <v>11</v>
      </c>
      <c r="C6" s="54" t="s">
        <v>12</v>
      </c>
      <c r="D6" s="54" t="s">
        <v>13</v>
      </c>
      <c r="E6" s="54" t="s">
        <v>14</v>
      </c>
      <c r="F6" s="40" t="s">
        <v>15</v>
      </c>
      <c r="G6" s="40"/>
      <c r="H6" s="40"/>
      <c r="I6" s="40"/>
      <c r="J6" s="40"/>
      <c r="K6" s="40"/>
      <c r="L6" s="55" t="s">
        <v>16</v>
      </c>
      <c r="M6" s="55" t="s">
        <v>17</v>
      </c>
      <c r="N6" s="55" t="s">
        <v>18</v>
      </c>
      <c r="O6" s="55" t="s">
        <v>19</v>
      </c>
      <c r="P6" s="56" t="s">
        <v>20</v>
      </c>
      <c r="Q6" s="55" t="s">
        <v>21</v>
      </c>
      <c r="R6" s="40" t="s">
        <v>22</v>
      </c>
      <c r="S6" s="13"/>
      <c r="T6" s="13"/>
      <c r="U6" s="13"/>
      <c r="V6" s="13"/>
      <c r="W6" s="13"/>
      <c r="X6" s="13"/>
      <c r="Y6" s="13"/>
      <c r="Z6" s="13"/>
      <c r="AA6" s="13"/>
    </row>
    <row r="7" spans="1:27" s="1" customFormat="1" ht="27.75" customHeight="1">
      <c r="A7" s="41"/>
      <c r="B7" s="53" t="s">
        <v>23</v>
      </c>
      <c r="C7" s="41" t="s">
        <v>24</v>
      </c>
      <c r="D7" s="41" t="s">
        <v>25</v>
      </c>
      <c r="E7" s="41"/>
      <c r="F7" s="6" t="s">
        <v>26</v>
      </c>
      <c r="G7" s="7" t="s">
        <v>27</v>
      </c>
      <c r="H7" s="7" t="s">
        <v>28</v>
      </c>
      <c r="I7" s="7" t="s">
        <v>29</v>
      </c>
      <c r="J7" s="6" t="s">
        <v>30</v>
      </c>
      <c r="K7" s="7" t="s">
        <v>31</v>
      </c>
      <c r="L7" s="55"/>
      <c r="M7" s="55"/>
      <c r="N7" s="55"/>
      <c r="O7" s="55"/>
      <c r="P7" s="57"/>
      <c r="Q7" s="55"/>
      <c r="R7" s="40"/>
    </row>
    <row r="8" spans="1:27" s="1" customFormat="1" ht="11.5" customHeight="1">
      <c r="A8" s="8">
        <v>44896</v>
      </c>
      <c r="B8" s="9" t="s">
        <v>32</v>
      </c>
      <c r="C8" s="9" t="s">
        <v>32</v>
      </c>
      <c r="D8" s="9" t="s">
        <v>33</v>
      </c>
      <c r="E8" s="9" t="s">
        <v>34</v>
      </c>
      <c r="F8" s="10"/>
      <c r="G8" s="10">
        <v>74.5</v>
      </c>
      <c r="H8" s="10"/>
      <c r="I8" s="10">
        <v>47.2</v>
      </c>
      <c r="J8" s="10"/>
      <c r="K8" s="10">
        <v>60</v>
      </c>
      <c r="L8" s="10">
        <v>59.98</v>
      </c>
      <c r="M8" s="10"/>
      <c r="N8" s="27"/>
      <c r="O8" s="27"/>
      <c r="P8" s="27"/>
      <c r="Q8" s="10"/>
      <c r="R8" s="30">
        <f>SUM(F8:Q8)</f>
        <v>241.67999999999998</v>
      </c>
    </row>
    <row r="9" spans="1:27" s="1" customFormat="1" ht="11.5" customHeight="1">
      <c r="A9" s="8">
        <v>44897</v>
      </c>
      <c r="B9" s="9" t="s">
        <v>32</v>
      </c>
      <c r="C9" s="9" t="s">
        <v>32</v>
      </c>
      <c r="D9" s="9" t="s">
        <v>33</v>
      </c>
      <c r="E9" s="9" t="s">
        <v>34</v>
      </c>
      <c r="F9" s="10"/>
      <c r="G9" s="10"/>
      <c r="H9" s="10"/>
      <c r="I9" s="10"/>
      <c r="J9" s="10"/>
      <c r="K9" s="10">
        <v>120</v>
      </c>
      <c r="L9" s="10"/>
      <c r="M9" s="10"/>
      <c r="N9" s="10"/>
      <c r="O9" s="10"/>
      <c r="P9" s="10"/>
      <c r="Q9" s="10"/>
      <c r="R9" s="30">
        <f t="shared" ref="R9:R38" si="0">SUM(F9:Q9)</f>
        <v>120</v>
      </c>
    </row>
    <row r="10" spans="1:27" s="1" customFormat="1" ht="11.5" customHeight="1">
      <c r="A10" s="8">
        <v>44898</v>
      </c>
      <c r="B10" s="9" t="s">
        <v>32</v>
      </c>
      <c r="C10" s="9" t="s">
        <v>32</v>
      </c>
      <c r="D10" s="9" t="s">
        <v>33</v>
      </c>
      <c r="E10" s="9" t="s">
        <v>34</v>
      </c>
      <c r="F10" s="10"/>
      <c r="G10" s="10"/>
      <c r="H10" s="10"/>
      <c r="I10" s="10"/>
      <c r="J10" s="10"/>
      <c r="K10" s="10">
        <v>120</v>
      </c>
      <c r="L10" s="10"/>
      <c r="M10" s="10"/>
      <c r="N10" s="10"/>
      <c r="O10" s="10"/>
      <c r="P10" s="10"/>
      <c r="Q10" s="10"/>
      <c r="R10" s="30">
        <f t="shared" si="0"/>
        <v>120</v>
      </c>
    </row>
    <row r="11" spans="1:27" s="1" customFormat="1" ht="11.5" customHeight="1">
      <c r="A11" s="8">
        <v>44899</v>
      </c>
      <c r="B11" s="9" t="s">
        <v>32</v>
      </c>
      <c r="C11" s="9" t="s">
        <v>32</v>
      </c>
      <c r="D11" s="9" t="s">
        <v>33</v>
      </c>
      <c r="E11" s="9" t="s">
        <v>34</v>
      </c>
      <c r="F11" s="10"/>
      <c r="G11" s="10"/>
      <c r="H11" s="10"/>
      <c r="I11" s="10"/>
      <c r="J11" s="10"/>
      <c r="K11" s="10">
        <v>120</v>
      </c>
      <c r="L11" s="10"/>
      <c r="M11" s="10"/>
      <c r="N11" s="10"/>
      <c r="O11" s="10"/>
      <c r="P11" s="10"/>
      <c r="Q11" s="10"/>
      <c r="R11" s="30">
        <f t="shared" si="0"/>
        <v>120</v>
      </c>
    </row>
    <row r="12" spans="1:27" s="1" customFormat="1" ht="11.5" customHeight="1">
      <c r="A12" s="8">
        <v>44900</v>
      </c>
      <c r="B12" s="9" t="s">
        <v>32</v>
      </c>
      <c r="C12" s="9" t="s">
        <v>32</v>
      </c>
      <c r="D12" s="9" t="s">
        <v>33</v>
      </c>
      <c r="E12" s="9" t="s">
        <v>34</v>
      </c>
      <c r="F12" s="10"/>
      <c r="G12" s="10">
        <v>74.5</v>
      </c>
      <c r="H12" s="10"/>
      <c r="I12" s="10">
        <v>70.5</v>
      </c>
      <c r="J12" s="10"/>
      <c r="K12" s="10">
        <v>60</v>
      </c>
      <c r="L12" s="10">
        <v>47.89</v>
      </c>
      <c r="M12" s="10"/>
      <c r="N12" s="10"/>
      <c r="O12" s="10"/>
      <c r="P12" s="10"/>
      <c r="Q12" s="10"/>
      <c r="R12" s="30">
        <f t="shared" si="0"/>
        <v>252.89</v>
      </c>
    </row>
    <row r="13" spans="1:27" s="1" customFormat="1" ht="11.5" customHeight="1">
      <c r="A13" s="8">
        <v>44901</v>
      </c>
      <c r="B13" s="9"/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30">
        <f t="shared" si="0"/>
        <v>0</v>
      </c>
    </row>
    <row r="14" spans="1:27" s="1" customFormat="1" ht="11.5" customHeight="1">
      <c r="A14" s="8">
        <v>44902</v>
      </c>
      <c r="B14" s="9"/>
      <c r="C14" s="9"/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30">
        <f t="shared" si="0"/>
        <v>0</v>
      </c>
    </row>
    <row r="15" spans="1:27" s="1" customFormat="1" ht="11.5" customHeight="1">
      <c r="A15" s="8">
        <v>44903</v>
      </c>
      <c r="B15" s="9"/>
      <c r="C15" s="9"/>
      <c r="D15" s="9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30">
        <f t="shared" si="0"/>
        <v>0</v>
      </c>
    </row>
    <row r="16" spans="1:27" s="1" customFormat="1" ht="11.5" customHeight="1">
      <c r="A16" s="8">
        <v>44904</v>
      </c>
      <c r="B16" s="9"/>
      <c r="C16" s="9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30">
        <f t="shared" si="0"/>
        <v>0</v>
      </c>
    </row>
    <row r="17" spans="1:18" s="1" customFormat="1" ht="11.5" customHeight="1">
      <c r="A17" s="8">
        <v>44905</v>
      </c>
      <c r="B17" s="9"/>
      <c r="C17" s="9"/>
      <c r="D17" s="9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30">
        <f t="shared" si="0"/>
        <v>0</v>
      </c>
    </row>
    <row r="18" spans="1:18" s="1" customFormat="1" ht="11.5" customHeight="1">
      <c r="A18" s="8">
        <v>44906</v>
      </c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30">
        <f t="shared" si="0"/>
        <v>0</v>
      </c>
    </row>
    <row r="19" spans="1:18" s="1" customFormat="1" ht="11.5" customHeight="1">
      <c r="A19" s="8">
        <v>44907</v>
      </c>
      <c r="B19" s="9"/>
      <c r="C19" s="9"/>
      <c r="D19" s="9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30">
        <f t="shared" si="0"/>
        <v>0</v>
      </c>
    </row>
    <row r="20" spans="1:18" s="1" customFormat="1" ht="11.5" customHeight="1">
      <c r="A20" s="8">
        <v>44908</v>
      </c>
      <c r="B20" s="9"/>
      <c r="C20" s="9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30">
        <f t="shared" si="0"/>
        <v>0</v>
      </c>
    </row>
    <row r="21" spans="1:18" s="1" customFormat="1" ht="11.5" customHeight="1">
      <c r="A21" s="8">
        <v>44909</v>
      </c>
      <c r="B21" s="9"/>
      <c r="C21" s="9"/>
      <c r="D21" s="9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30">
        <f t="shared" si="0"/>
        <v>0</v>
      </c>
    </row>
    <row r="22" spans="1:18" s="1" customFormat="1" ht="11.5" customHeight="1">
      <c r="A22" s="8">
        <v>44910</v>
      </c>
      <c r="B22" s="9"/>
      <c r="C22" s="9"/>
      <c r="D22" s="9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30">
        <f t="shared" si="0"/>
        <v>0</v>
      </c>
    </row>
    <row r="23" spans="1:18" s="1" customFormat="1" ht="11.5" customHeight="1">
      <c r="A23" s="8">
        <v>44911</v>
      </c>
      <c r="B23" s="9"/>
      <c r="C23" s="9"/>
      <c r="D23" s="9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30">
        <f t="shared" si="0"/>
        <v>0</v>
      </c>
    </row>
    <row r="24" spans="1:18" s="1" customFormat="1" ht="11.5" customHeight="1">
      <c r="A24" s="8">
        <v>44912</v>
      </c>
      <c r="B24" s="9"/>
      <c r="C24" s="9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30">
        <f t="shared" si="0"/>
        <v>0</v>
      </c>
    </row>
    <row r="25" spans="1:18" s="1" customFormat="1" ht="11.5" customHeight="1">
      <c r="A25" s="8">
        <v>44913</v>
      </c>
      <c r="B25" s="9"/>
      <c r="C25" s="9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30">
        <f t="shared" si="0"/>
        <v>0</v>
      </c>
    </row>
    <row r="26" spans="1:18" s="1" customFormat="1" ht="11.5" customHeight="1">
      <c r="A26" s="8">
        <v>44914</v>
      </c>
      <c r="B26" s="9"/>
      <c r="C26" s="9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30">
        <f t="shared" si="0"/>
        <v>0</v>
      </c>
    </row>
    <row r="27" spans="1:18" s="1" customFormat="1" ht="11.5" customHeight="1">
      <c r="A27" s="8">
        <v>44915</v>
      </c>
      <c r="B27" s="9"/>
      <c r="C27" s="9"/>
      <c r="D27" s="9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30">
        <f t="shared" si="0"/>
        <v>0</v>
      </c>
    </row>
    <row r="28" spans="1:18" s="1" customFormat="1" ht="11.5" customHeight="1">
      <c r="A28" s="8">
        <v>44916</v>
      </c>
      <c r="B28" s="9"/>
      <c r="C28" s="9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30">
        <f t="shared" si="0"/>
        <v>0</v>
      </c>
    </row>
    <row r="29" spans="1:18" s="1" customFormat="1" ht="11.5" customHeight="1">
      <c r="A29" s="8">
        <v>44917</v>
      </c>
      <c r="B29" s="9"/>
      <c r="C29" s="9"/>
      <c r="D29" s="9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30">
        <f t="shared" si="0"/>
        <v>0</v>
      </c>
    </row>
    <row r="30" spans="1:18" s="1" customFormat="1" ht="11.5" customHeight="1">
      <c r="A30" s="8">
        <v>44918</v>
      </c>
      <c r="B30" s="9"/>
      <c r="C30" s="9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30">
        <f t="shared" si="0"/>
        <v>0</v>
      </c>
    </row>
    <row r="31" spans="1:18" s="1" customFormat="1" ht="11.5" customHeight="1">
      <c r="A31" s="8">
        <v>44919</v>
      </c>
      <c r="B31" s="9"/>
      <c r="C31" s="9"/>
      <c r="D31" s="9"/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30">
        <f t="shared" si="0"/>
        <v>0</v>
      </c>
    </row>
    <row r="32" spans="1:18" s="1" customFormat="1" ht="11.5" customHeight="1">
      <c r="A32" s="8">
        <v>44920</v>
      </c>
      <c r="B32" s="9"/>
      <c r="C32" s="9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30">
        <f t="shared" si="0"/>
        <v>0</v>
      </c>
    </row>
    <row r="33" spans="1:20" s="1" customFormat="1" ht="11.5" customHeight="1">
      <c r="A33" s="8">
        <v>44921</v>
      </c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30">
        <f t="shared" si="0"/>
        <v>0</v>
      </c>
    </row>
    <row r="34" spans="1:20" s="1" customFormat="1" ht="11.5" customHeight="1">
      <c r="A34" s="8">
        <v>44922</v>
      </c>
      <c r="B34" s="9"/>
      <c r="C34" s="9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30">
        <f t="shared" si="0"/>
        <v>0</v>
      </c>
    </row>
    <row r="35" spans="1:20" s="1" customFormat="1" ht="11.5" customHeight="1">
      <c r="A35" s="8">
        <v>44923</v>
      </c>
      <c r="B35" s="9"/>
      <c r="C35" s="9"/>
      <c r="D35" s="9"/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30">
        <f t="shared" si="0"/>
        <v>0</v>
      </c>
    </row>
    <row r="36" spans="1:20" s="1" customFormat="1" ht="11.5" customHeight="1">
      <c r="A36" s="8">
        <v>44924</v>
      </c>
      <c r="B36" s="9"/>
      <c r="C36" s="9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30">
        <f t="shared" si="0"/>
        <v>0</v>
      </c>
    </row>
    <row r="37" spans="1:20" s="1" customFormat="1" ht="11.5" customHeight="1">
      <c r="A37" s="8">
        <v>44925</v>
      </c>
      <c r="B37" s="9"/>
      <c r="C37" s="9"/>
      <c r="D37" s="9"/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30">
        <f t="shared" si="0"/>
        <v>0</v>
      </c>
    </row>
    <row r="38" spans="1:20" s="1" customFormat="1" ht="11.5" customHeight="1">
      <c r="A38" s="8">
        <v>44926</v>
      </c>
      <c r="B38" s="9"/>
      <c r="C38" s="9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30">
        <f t="shared" si="0"/>
        <v>0</v>
      </c>
    </row>
    <row r="39" spans="1:20" s="2" customFormat="1" ht="11.5" customHeight="1">
      <c r="A39" s="11" t="s">
        <v>35</v>
      </c>
      <c r="B39" s="11"/>
      <c r="C39" s="11"/>
      <c r="D39" s="11"/>
      <c r="E39" s="11"/>
      <c r="F39" s="12">
        <f>SUM(F8:F38)</f>
        <v>0</v>
      </c>
      <c r="G39" s="12">
        <f t="shared" ref="G39:R39" si="1">SUM(G8:G38)</f>
        <v>149</v>
      </c>
      <c r="H39" s="12">
        <f t="shared" si="1"/>
        <v>0</v>
      </c>
      <c r="I39" s="12">
        <f t="shared" si="1"/>
        <v>117.7</v>
      </c>
      <c r="J39" s="12">
        <f t="shared" si="1"/>
        <v>0</v>
      </c>
      <c r="K39" s="12">
        <f t="shared" si="1"/>
        <v>480</v>
      </c>
      <c r="L39" s="12">
        <f t="shared" si="1"/>
        <v>107.87</v>
      </c>
      <c r="M39" s="12">
        <f t="shared" si="1"/>
        <v>0</v>
      </c>
      <c r="N39" s="12">
        <f t="shared" si="1"/>
        <v>0</v>
      </c>
      <c r="O39" s="12">
        <f t="shared" si="1"/>
        <v>0</v>
      </c>
      <c r="P39" s="12">
        <f t="shared" si="1"/>
        <v>0</v>
      </c>
      <c r="Q39" s="12">
        <f t="shared" si="1"/>
        <v>0</v>
      </c>
      <c r="R39" s="12">
        <f t="shared" si="1"/>
        <v>854.56999999999994</v>
      </c>
      <c r="T39" s="4"/>
    </row>
    <row r="40" spans="1:20" ht="11.5" customHeight="1">
      <c r="Q40" s="3"/>
      <c r="R40" s="3"/>
      <c r="S40" s="3"/>
    </row>
    <row r="41" spans="1:20" ht="11.5" customHeight="1">
      <c r="A41" s="5" t="s">
        <v>36</v>
      </c>
      <c r="B41" s="41" t="s">
        <v>37</v>
      </c>
      <c r="C41" s="41"/>
      <c r="D41" s="41" t="s">
        <v>38</v>
      </c>
      <c r="E41" s="41"/>
      <c r="F41" s="41"/>
      <c r="G41" s="40" t="s">
        <v>39</v>
      </c>
      <c r="H41" s="40"/>
      <c r="I41" s="6" t="s">
        <v>40</v>
      </c>
      <c r="J41" s="6" t="s">
        <v>41</v>
      </c>
      <c r="Q41" s="3"/>
      <c r="R41" s="3"/>
      <c r="S41" s="3"/>
    </row>
    <row r="42" spans="1:20" ht="11.5" customHeight="1">
      <c r="A42" s="11"/>
      <c r="B42" s="42"/>
      <c r="C42" s="43"/>
      <c r="D42" s="42"/>
      <c r="E42" s="44"/>
      <c r="F42" s="45"/>
      <c r="G42" s="46"/>
      <c r="H42" s="47"/>
      <c r="I42" s="28"/>
      <c r="J42" s="12"/>
      <c r="Q42" s="3"/>
      <c r="R42" s="3"/>
      <c r="S42" s="3"/>
    </row>
    <row r="43" spans="1:20" ht="11.5" customHeight="1">
      <c r="A43" s="21"/>
      <c r="B43" s="42"/>
      <c r="C43" s="45"/>
      <c r="D43" s="42"/>
      <c r="E43" s="44"/>
      <c r="F43" s="45"/>
      <c r="G43" s="48"/>
      <c r="H43" s="43"/>
      <c r="I43" s="22"/>
      <c r="J43" s="29"/>
      <c r="Q43" s="3"/>
      <c r="R43" s="3"/>
      <c r="S43" s="3"/>
    </row>
    <row r="44" spans="1:20" ht="17.25" customHeight="1">
      <c r="A44" s="21"/>
      <c r="B44" s="49"/>
      <c r="C44" s="45"/>
      <c r="D44" s="42"/>
      <c r="E44" s="44"/>
      <c r="F44" s="45"/>
      <c r="G44" s="48"/>
      <c r="H44" s="43"/>
      <c r="I44" s="22"/>
      <c r="J44" s="29"/>
      <c r="L44" s="3"/>
      <c r="M44" s="3"/>
      <c r="N44" s="3"/>
      <c r="O44" s="3"/>
      <c r="P44" s="3"/>
      <c r="Q44" s="3"/>
      <c r="R44" s="3"/>
      <c r="S44" s="3"/>
    </row>
    <row r="45" spans="1:20">
      <c r="A45" s="21"/>
      <c r="B45" s="42"/>
      <c r="C45" s="43"/>
      <c r="D45" s="42"/>
      <c r="E45" s="44"/>
      <c r="F45" s="45"/>
      <c r="G45" s="50"/>
      <c r="H45" s="51"/>
      <c r="I45" s="22"/>
      <c r="J45" s="29"/>
    </row>
    <row r="46" spans="1:20">
      <c r="A46" s="21" t="s">
        <v>35</v>
      </c>
      <c r="B46" s="49"/>
      <c r="C46" s="45"/>
      <c r="D46" s="49"/>
      <c r="E46" s="44"/>
      <c r="F46" s="45"/>
      <c r="G46" s="50"/>
      <c r="H46" s="51"/>
      <c r="I46" s="23"/>
      <c r="J46" s="29">
        <f>SUM(J42:J45)</f>
        <v>0</v>
      </c>
    </row>
  </sheetData>
  <protectedRanges>
    <protectedRange sqref="C3" name="区域1"/>
  </protectedRanges>
  <mergeCells count="40">
    <mergeCell ref="P6:P7"/>
    <mergeCell ref="Q6:Q7"/>
    <mergeCell ref="R6:R7"/>
    <mergeCell ref="B45:C45"/>
    <mergeCell ref="D45:F45"/>
    <mergeCell ref="G45:H45"/>
    <mergeCell ref="B46:C46"/>
    <mergeCell ref="D46:F46"/>
    <mergeCell ref="G46:H46"/>
    <mergeCell ref="B43:C43"/>
    <mergeCell ref="D43:F43"/>
    <mergeCell ref="G43:H43"/>
    <mergeCell ref="B44:C44"/>
    <mergeCell ref="D44:F44"/>
    <mergeCell ref="G44:H44"/>
    <mergeCell ref="B41:C41"/>
    <mergeCell ref="D41:F41"/>
    <mergeCell ref="G41:H41"/>
    <mergeCell ref="B42:C42"/>
    <mergeCell ref="D42:F42"/>
    <mergeCell ref="G42:H42"/>
    <mergeCell ref="A3:B3"/>
    <mergeCell ref="C3:H3"/>
    <mergeCell ref="K3:L3"/>
    <mergeCell ref="N3:O3"/>
    <mergeCell ref="F6:K6"/>
    <mergeCell ref="A6:A7"/>
    <mergeCell ref="B6:B7"/>
    <mergeCell ref="C6:C7"/>
    <mergeCell ref="D6:D7"/>
    <mergeCell ref="E6:E7"/>
    <mergeCell ref="L6:L7"/>
    <mergeCell ref="M6:M7"/>
    <mergeCell ref="N6:N7"/>
    <mergeCell ref="O6:O7"/>
    <mergeCell ref="A1:H1"/>
    <mergeCell ref="K1:L1"/>
    <mergeCell ref="N1:O1"/>
    <mergeCell ref="K2:L2"/>
    <mergeCell ref="N2:O2"/>
  </mergeCells>
  <phoneticPr fontId="7" type="noConversion"/>
  <pageMargins left="0.7" right="0.7" top="0.75" bottom="0.75" header="0.3" footer="0.3"/>
  <pageSetup paperSize="9" scale="7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2"/>
  <sheetViews>
    <sheetView tabSelected="1" zoomScale="85" zoomScaleNormal="85" workbookViewId="0">
      <selection activeCell="E19" sqref="E19"/>
    </sheetView>
  </sheetViews>
  <sheetFormatPr baseColWidth="10" defaultColWidth="9" defaultRowHeight="15"/>
  <cols>
    <col min="1" max="1" width="10.83203125" style="3" customWidth="1"/>
    <col min="2" max="2" width="9.1640625" style="3" customWidth="1"/>
    <col min="3" max="3" width="7.83203125" style="3" customWidth="1"/>
    <col min="4" max="4" width="8.6640625" style="3" customWidth="1"/>
    <col min="5" max="5" width="12.1640625" style="3" customWidth="1"/>
    <col min="6" max="6" width="7.6640625" style="4" customWidth="1"/>
    <col min="7" max="8" width="7.5" style="4" customWidth="1"/>
    <col min="9" max="9" width="10.33203125" style="4" customWidth="1"/>
    <col min="10" max="10" width="9.83203125" style="4" customWidth="1"/>
    <col min="11" max="11" width="7.1640625" style="4" customWidth="1"/>
    <col min="12" max="12" width="8.83203125" style="4" customWidth="1"/>
    <col min="13" max="13" width="7.5" style="4" customWidth="1"/>
    <col min="14" max="14" width="9.5" style="4" customWidth="1"/>
    <col min="15" max="15" width="9" style="4"/>
    <col min="16" max="16384" width="9" style="3"/>
  </cols>
  <sheetData>
    <row r="1" spans="1:19" ht="25.75" customHeight="1">
      <c r="A1" s="58" t="s">
        <v>42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9" ht="17.25" customHeight="1">
      <c r="A2" s="59" t="s">
        <v>1</v>
      </c>
      <c r="B2" s="60"/>
      <c r="C2" s="59"/>
      <c r="D2" s="61"/>
      <c r="E2" s="61"/>
      <c r="F2" s="61"/>
      <c r="G2" s="61"/>
      <c r="H2" s="62" t="s">
        <v>43</v>
      </c>
      <c r="I2" s="62"/>
      <c r="J2" s="59"/>
      <c r="K2" s="61"/>
      <c r="L2" s="61"/>
      <c r="M2" s="61"/>
    </row>
    <row r="3" spans="1:19" ht="17.25" customHeight="1">
      <c r="A3" s="59" t="s">
        <v>44</v>
      </c>
      <c r="B3" s="60"/>
      <c r="C3" s="59" t="s">
        <v>45</v>
      </c>
      <c r="D3" s="61"/>
      <c r="E3" s="61"/>
      <c r="F3" s="61"/>
      <c r="G3" s="61"/>
      <c r="H3" s="62" t="s">
        <v>46</v>
      </c>
      <c r="I3" s="62"/>
      <c r="J3" s="59"/>
      <c r="K3" s="61"/>
      <c r="L3" s="61"/>
      <c r="M3" s="61"/>
    </row>
    <row r="4" spans="1:19" ht="17.25" customHeight="1">
      <c r="A4" s="59" t="s">
        <v>47</v>
      </c>
      <c r="B4" s="60"/>
      <c r="C4" s="59"/>
      <c r="D4" s="61"/>
      <c r="E4" s="61"/>
      <c r="F4" s="61"/>
      <c r="G4" s="61"/>
      <c r="H4" s="62" t="s">
        <v>48</v>
      </c>
      <c r="I4" s="62"/>
      <c r="J4" s="59" t="s">
        <v>49</v>
      </c>
      <c r="K4" s="61"/>
      <c r="L4" s="61"/>
      <c r="M4" s="61"/>
    </row>
    <row r="5" spans="1:19" ht="17.25" customHeight="1">
      <c r="A5" s="59" t="s">
        <v>50</v>
      </c>
      <c r="B5" s="60"/>
      <c r="C5" s="59"/>
      <c r="D5" s="61"/>
      <c r="E5" s="61"/>
      <c r="F5" s="61"/>
      <c r="G5" s="61"/>
      <c r="H5" s="62" t="s">
        <v>51</v>
      </c>
      <c r="I5" s="62"/>
      <c r="J5" s="59"/>
      <c r="K5" s="61"/>
      <c r="L5" s="61"/>
      <c r="M5" s="61"/>
    </row>
    <row r="6" spans="1:19" ht="17.25" customHeight="1">
      <c r="A6" s="63" t="s">
        <v>52</v>
      </c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19" ht="16.25" customHeight="1"/>
    <row r="8" spans="1:19" customFormat="1" ht="16.5" customHeight="1">
      <c r="A8" s="41" t="s">
        <v>10</v>
      </c>
      <c r="B8" s="52" t="s">
        <v>11</v>
      </c>
      <c r="C8" s="54" t="s">
        <v>12</v>
      </c>
      <c r="D8" s="54" t="s">
        <v>13</v>
      </c>
      <c r="E8" s="54" t="s">
        <v>14</v>
      </c>
      <c r="F8" s="40" t="s">
        <v>15</v>
      </c>
      <c r="G8" s="40"/>
      <c r="H8" s="40"/>
      <c r="I8" s="40"/>
      <c r="J8" s="40"/>
      <c r="K8" s="40"/>
      <c r="L8" s="40" t="s">
        <v>22</v>
      </c>
      <c r="M8" s="64" t="s">
        <v>53</v>
      </c>
      <c r="N8" s="13"/>
      <c r="O8" s="13"/>
      <c r="P8" s="13"/>
      <c r="Q8" s="13"/>
      <c r="R8" s="13"/>
      <c r="S8" s="13"/>
    </row>
    <row r="9" spans="1:19" s="1" customFormat="1" ht="27.75" customHeight="1">
      <c r="A9" s="41"/>
      <c r="B9" s="53"/>
      <c r="C9" s="41"/>
      <c r="D9" s="41"/>
      <c r="E9" s="41"/>
      <c r="F9" s="6" t="s">
        <v>26</v>
      </c>
      <c r="G9" s="7" t="s">
        <v>27</v>
      </c>
      <c r="H9" s="7" t="s">
        <v>28</v>
      </c>
      <c r="I9" s="7" t="s">
        <v>29</v>
      </c>
      <c r="J9" s="6" t="s">
        <v>30</v>
      </c>
      <c r="K9" s="7" t="s">
        <v>31</v>
      </c>
      <c r="L9" s="40"/>
      <c r="M9" s="65"/>
    </row>
    <row r="10" spans="1:19" s="1" customFormat="1" ht="11.5" customHeight="1">
      <c r="A10" s="8">
        <v>44896</v>
      </c>
      <c r="B10" s="9" t="s">
        <v>32</v>
      </c>
      <c r="C10" s="9" t="s">
        <v>32</v>
      </c>
      <c r="D10" s="9" t="s">
        <v>33</v>
      </c>
      <c r="E10" s="66" t="s">
        <v>34</v>
      </c>
      <c r="F10" s="10"/>
      <c r="G10" s="10">
        <v>74.5</v>
      </c>
      <c r="H10" s="10"/>
      <c r="I10" s="10">
        <v>47.2</v>
      </c>
      <c r="J10" s="10"/>
      <c r="K10" s="10">
        <v>60</v>
      </c>
      <c r="L10" s="14">
        <f>SUM(F10:K10)</f>
        <v>181.7</v>
      </c>
      <c r="M10" s="14"/>
    </row>
    <row r="11" spans="1:19" s="1" customFormat="1" ht="11.5" customHeight="1">
      <c r="A11" s="8">
        <v>44897</v>
      </c>
      <c r="B11" s="9" t="s">
        <v>32</v>
      </c>
      <c r="C11" s="9" t="s">
        <v>32</v>
      </c>
      <c r="D11" s="9" t="s">
        <v>33</v>
      </c>
      <c r="E11" s="66" t="s">
        <v>34</v>
      </c>
      <c r="F11" s="10"/>
      <c r="G11" s="10"/>
      <c r="H11" s="10"/>
      <c r="I11" s="10"/>
      <c r="J11" s="10"/>
      <c r="K11" s="10">
        <v>120</v>
      </c>
      <c r="L11" s="14">
        <f t="shared" ref="L11:L40" si="0">SUM(F11:K11)</f>
        <v>120</v>
      </c>
      <c r="M11" s="14"/>
    </row>
    <row r="12" spans="1:19" s="1" customFormat="1" ht="11.5" customHeight="1">
      <c r="A12" s="8">
        <v>44898</v>
      </c>
      <c r="B12" s="9" t="s">
        <v>32</v>
      </c>
      <c r="C12" s="9" t="s">
        <v>32</v>
      </c>
      <c r="D12" s="9" t="s">
        <v>33</v>
      </c>
      <c r="E12" s="66" t="s">
        <v>34</v>
      </c>
      <c r="F12" s="10"/>
      <c r="G12" s="10"/>
      <c r="H12" s="10"/>
      <c r="I12" s="10"/>
      <c r="J12" s="10"/>
      <c r="K12" s="10">
        <v>120</v>
      </c>
      <c r="L12" s="14">
        <f t="shared" si="0"/>
        <v>120</v>
      </c>
      <c r="M12" s="14"/>
    </row>
    <row r="13" spans="1:19" s="1" customFormat="1" ht="11.5" customHeight="1">
      <c r="A13" s="8">
        <v>44899</v>
      </c>
      <c r="B13" s="9" t="s">
        <v>32</v>
      </c>
      <c r="C13" s="9" t="s">
        <v>32</v>
      </c>
      <c r="D13" s="9" t="s">
        <v>33</v>
      </c>
      <c r="E13" s="66" t="s">
        <v>34</v>
      </c>
      <c r="F13" s="10"/>
      <c r="G13" s="10"/>
      <c r="H13" s="10"/>
      <c r="I13" s="10"/>
      <c r="J13" s="10"/>
      <c r="K13" s="10">
        <v>120</v>
      </c>
      <c r="L13" s="14">
        <f t="shared" si="0"/>
        <v>120</v>
      </c>
      <c r="M13" s="14"/>
    </row>
    <row r="14" spans="1:19" s="1" customFormat="1" ht="11.5" customHeight="1">
      <c r="A14" s="8">
        <v>44900</v>
      </c>
      <c r="B14" s="9" t="s">
        <v>32</v>
      </c>
      <c r="C14" s="9" t="s">
        <v>32</v>
      </c>
      <c r="D14" s="9" t="s">
        <v>33</v>
      </c>
      <c r="E14" s="66" t="s">
        <v>34</v>
      </c>
      <c r="F14" s="10"/>
      <c r="G14" s="10">
        <v>74.5</v>
      </c>
      <c r="H14" s="10"/>
      <c r="I14" s="10">
        <v>70.5</v>
      </c>
      <c r="J14" s="10"/>
      <c r="K14" s="10">
        <v>60</v>
      </c>
      <c r="L14" s="14">
        <f t="shared" si="0"/>
        <v>205</v>
      </c>
      <c r="M14" s="14"/>
    </row>
    <row r="15" spans="1:19" s="1" customFormat="1" ht="11.5" customHeight="1">
      <c r="A15" s="8">
        <v>44901</v>
      </c>
      <c r="B15" s="9"/>
      <c r="C15" s="9"/>
      <c r="D15" s="9"/>
      <c r="E15" s="66"/>
      <c r="F15" s="10"/>
      <c r="G15" s="10"/>
      <c r="H15" s="10"/>
      <c r="I15" s="10"/>
      <c r="J15" s="10"/>
      <c r="K15" s="10"/>
      <c r="L15" s="14">
        <f t="shared" si="0"/>
        <v>0</v>
      </c>
      <c r="M15" s="14"/>
    </row>
    <row r="16" spans="1:19" s="1" customFormat="1" ht="11.5" customHeight="1">
      <c r="A16" s="8">
        <v>44902</v>
      </c>
      <c r="B16" s="9"/>
      <c r="C16" s="9"/>
      <c r="D16" s="9"/>
      <c r="E16" s="66"/>
      <c r="F16" s="10"/>
      <c r="G16" s="10"/>
      <c r="H16" s="10"/>
      <c r="I16" s="10"/>
      <c r="J16" s="10"/>
      <c r="K16" s="10"/>
      <c r="L16" s="14">
        <f t="shared" si="0"/>
        <v>0</v>
      </c>
      <c r="M16" s="14"/>
    </row>
    <row r="17" spans="1:13" s="1" customFormat="1" ht="11.5" customHeight="1">
      <c r="A17" s="8">
        <v>44903</v>
      </c>
      <c r="B17" s="9"/>
      <c r="C17" s="9"/>
      <c r="D17" s="9"/>
      <c r="E17" s="66"/>
      <c r="F17" s="10"/>
      <c r="G17" s="10"/>
      <c r="H17" s="10"/>
      <c r="I17" s="10"/>
      <c r="J17" s="10"/>
      <c r="K17" s="10"/>
      <c r="L17" s="14">
        <f t="shared" si="0"/>
        <v>0</v>
      </c>
      <c r="M17" s="14"/>
    </row>
    <row r="18" spans="1:13" s="1" customFormat="1" ht="11.5" customHeight="1">
      <c r="A18" s="8">
        <v>44904</v>
      </c>
      <c r="B18" s="9"/>
      <c r="C18" s="9"/>
      <c r="D18" s="9"/>
      <c r="E18" s="66"/>
      <c r="F18" s="10"/>
      <c r="G18" s="10"/>
      <c r="H18" s="10"/>
      <c r="I18" s="10"/>
      <c r="J18" s="10"/>
      <c r="K18" s="10"/>
      <c r="L18" s="14">
        <f t="shared" si="0"/>
        <v>0</v>
      </c>
      <c r="M18" s="14"/>
    </row>
    <row r="19" spans="1:13" s="1" customFormat="1" ht="11.5" customHeight="1">
      <c r="A19" s="8">
        <v>44905</v>
      </c>
      <c r="B19" s="9"/>
      <c r="C19" s="9"/>
      <c r="D19" s="9"/>
      <c r="E19" s="66"/>
      <c r="F19" s="10"/>
      <c r="G19" s="10"/>
      <c r="H19" s="10"/>
      <c r="I19" s="10"/>
      <c r="J19" s="10"/>
      <c r="K19" s="10"/>
      <c r="L19" s="14">
        <f t="shared" si="0"/>
        <v>0</v>
      </c>
      <c r="M19" s="14"/>
    </row>
    <row r="20" spans="1:13" s="1" customFormat="1" ht="11.5" customHeight="1">
      <c r="A20" s="8">
        <v>44906</v>
      </c>
      <c r="B20" s="9"/>
      <c r="C20" s="9"/>
      <c r="D20" s="9"/>
      <c r="E20" s="66"/>
      <c r="F20" s="10"/>
      <c r="G20" s="10"/>
      <c r="H20" s="10"/>
      <c r="I20" s="10"/>
      <c r="J20" s="10"/>
      <c r="K20" s="10"/>
      <c r="L20" s="14">
        <f t="shared" si="0"/>
        <v>0</v>
      </c>
      <c r="M20" s="14"/>
    </row>
    <row r="21" spans="1:13" s="1" customFormat="1" ht="11.5" customHeight="1">
      <c r="A21" s="8">
        <v>44907</v>
      </c>
      <c r="B21" s="9"/>
      <c r="C21" s="9"/>
      <c r="D21" s="9"/>
      <c r="E21" s="66"/>
      <c r="F21" s="10"/>
      <c r="G21" s="10"/>
      <c r="H21" s="10"/>
      <c r="I21" s="10"/>
      <c r="J21" s="10"/>
      <c r="K21" s="10"/>
      <c r="L21" s="14">
        <f t="shared" si="0"/>
        <v>0</v>
      </c>
      <c r="M21" s="14"/>
    </row>
    <row r="22" spans="1:13" s="1" customFormat="1" ht="11.5" customHeight="1">
      <c r="A22" s="8">
        <v>44908</v>
      </c>
      <c r="B22" s="9"/>
      <c r="C22" s="9"/>
      <c r="D22" s="9"/>
      <c r="E22" s="66"/>
      <c r="F22" s="10"/>
      <c r="G22" s="10"/>
      <c r="H22" s="10"/>
      <c r="I22" s="10"/>
      <c r="J22" s="10"/>
      <c r="K22" s="10"/>
      <c r="L22" s="14">
        <f t="shared" si="0"/>
        <v>0</v>
      </c>
      <c r="M22" s="14"/>
    </row>
    <row r="23" spans="1:13" s="1" customFormat="1" ht="11.5" customHeight="1">
      <c r="A23" s="8">
        <v>44909</v>
      </c>
      <c r="B23" s="9"/>
      <c r="C23" s="9"/>
      <c r="D23" s="9"/>
      <c r="E23" s="66"/>
      <c r="F23" s="10"/>
      <c r="G23" s="10"/>
      <c r="H23" s="10"/>
      <c r="I23" s="10"/>
      <c r="J23" s="10"/>
      <c r="K23" s="10"/>
      <c r="L23" s="14">
        <f t="shared" si="0"/>
        <v>0</v>
      </c>
      <c r="M23" s="14"/>
    </row>
    <row r="24" spans="1:13" s="1" customFormat="1" ht="11.5" customHeight="1">
      <c r="A24" s="8">
        <v>44910</v>
      </c>
      <c r="B24" s="9"/>
      <c r="C24" s="9"/>
      <c r="D24" s="9"/>
      <c r="E24" s="66"/>
      <c r="F24" s="10"/>
      <c r="G24" s="10"/>
      <c r="H24" s="10"/>
      <c r="I24" s="10"/>
      <c r="J24" s="10"/>
      <c r="K24" s="10"/>
      <c r="L24" s="14">
        <f t="shared" si="0"/>
        <v>0</v>
      </c>
      <c r="M24" s="14"/>
    </row>
    <row r="25" spans="1:13" s="1" customFormat="1" ht="11.5" customHeight="1">
      <c r="A25" s="8">
        <v>44911</v>
      </c>
      <c r="B25" s="9"/>
      <c r="C25" s="9"/>
      <c r="D25" s="9"/>
      <c r="E25" s="66"/>
      <c r="F25" s="10"/>
      <c r="G25" s="10"/>
      <c r="H25" s="10"/>
      <c r="I25" s="10"/>
      <c r="J25" s="10"/>
      <c r="K25" s="10"/>
      <c r="L25" s="14">
        <f t="shared" si="0"/>
        <v>0</v>
      </c>
      <c r="M25" s="14"/>
    </row>
    <row r="26" spans="1:13" s="1" customFormat="1" ht="11.5" customHeight="1">
      <c r="A26" s="8">
        <v>44912</v>
      </c>
      <c r="B26" s="9"/>
      <c r="C26" s="9"/>
      <c r="D26" s="9"/>
      <c r="E26" s="66"/>
      <c r="F26" s="10"/>
      <c r="G26" s="10"/>
      <c r="H26" s="10"/>
      <c r="I26" s="10"/>
      <c r="J26" s="10"/>
      <c r="K26" s="10"/>
      <c r="L26" s="14">
        <f t="shared" si="0"/>
        <v>0</v>
      </c>
      <c r="M26" s="14"/>
    </row>
    <row r="27" spans="1:13" s="1" customFormat="1" ht="11.5" customHeight="1">
      <c r="A27" s="8">
        <v>44913</v>
      </c>
      <c r="B27" s="9"/>
      <c r="C27" s="9"/>
      <c r="D27" s="9"/>
      <c r="E27" s="66"/>
      <c r="F27" s="10"/>
      <c r="G27" s="10"/>
      <c r="H27" s="10"/>
      <c r="I27" s="10"/>
      <c r="J27" s="10"/>
      <c r="K27" s="10"/>
      <c r="L27" s="14">
        <f t="shared" si="0"/>
        <v>0</v>
      </c>
      <c r="M27" s="14"/>
    </row>
    <row r="28" spans="1:13" s="1" customFormat="1" ht="11.5" customHeight="1">
      <c r="A28" s="8">
        <v>44914</v>
      </c>
      <c r="B28" s="9"/>
      <c r="C28" s="9"/>
      <c r="D28" s="9"/>
      <c r="E28" s="66"/>
      <c r="F28" s="10"/>
      <c r="G28" s="10"/>
      <c r="H28" s="10"/>
      <c r="I28" s="10"/>
      <c r="J28" s="10"/>
      <c r="K28" s="10"/>
      <c r="L28" s="14">
        <f t="shared" si="0"/>
        <v>0</v>
      </c>
      <c r="M28" s="14"/>
    </row>
    <row r="29" spans="1:13" s="1" customFormat="1" ht="11.5" customHeight="1">
      <c r="A29" s="8">
        <v>44915</v>
      </c>
      <c r="B29" s="9"/>
      <c r="C29" s="9"/>
      <c r="D29" s="9"/>
      <c r="E29" s="66"/>
      <c r="F29" s="10"/>
      <c r="G29" s="10"/>
      <c r="H29" s="10"/>
      <c r="I29" s="10"/>
      <c r="J29" s="10"/>
      <c r="K29" s="10"/>
      <c r="L29" s="14">
        <f t="shared" si="0"/>
        <v>0</v>
      </c>
      <c r="M29" s="14"/>
    </row>
    <row r="30" spans="1:13" s="1" customFormat="1" ht="11.5" customHeight="1">
      <c r="A30" s="8">
        <v>44916</v>
      </c>
      <c r="B30" s="9"/>
      <c r="C30" s="9"/>
      <c r="D30" s="9"/>
      <c r="E30" s="66"/>
      <c r="F30" s="10"/>
      <c r="G30" s="10"/>
      <c r="H30" s="10"/>
      <c r="I30" s="10"/>
      <c r="J30" s="10"/>
      <c r="K30" s="10"/>
      <c r="L30" s="14">
        <f t="shared" si="0"/>
        <v>0</v>
      </c>
      <c r="M30" s="14"/>
    </row>
    <row r="31" spans="1:13" s="1" customFormat="1" ht="11.5" customHeight="1">
      <c r="A31" s="8">
        <v>44917</v>
      </c>
      <c r="B31" s="9"/>
      <c r="C31" s="9"/>
      <c r="D31" s="9"/>
      <c r="E31" s="66"/>
      <c r="F31" s="10"/>
      <c r="G31" s="10"/>
      <c r="H31" s="10"/>
      <c r="I31" s="10"/>
      <c r="J31" s="10"/>
      <c r="K31" s="10"/>
      <c r="L31" s="14">
        <f t="shared" si="0"/>
        <v>0</v>
      </c>
      <c r="M31" s="14"/>
    </row>
    <row r="32" spans="1:13" s="1" customFormat="1" ht="11.5" customHeight="1">
      <c r="A32" s="8">
        <v>44918</v>
      </c>
      <c r="B32" s="9"/>
      <c r="C32" s="9"/>
      <c r="D32" s="9"/>
      <c r="E32" s="66"/>
      <c r="F32" s="10"/>
      <c r="G32" s="10"/>
      <c r="H32" s="10"/>
      <c r="I32" s="10"/>
      <c r="J32" s="10"/>
      <c r="K32" s="10"/>
      <c r="L32" s="14">
        <f t="shared" si="0"/>
        <v>0</v>
      </c>
      <c r="M32" s="14"/>
    </row>
    <row r="33" spans="1:14" s="1" customFormat="1" ht="11.5" customHeight="1">
      <c r="A33" s="8">
        <v>44919</v>
      </c>
      <c r="B33" s="9"/>
      <c r="C33" s="9"/>
      <c r="D33" s="9"/>
      <c r="E33" s="66"/>
      <c r="F33" s="10"/>
      <c r="G33" s="10"/>
      <c r="H33" s="10"/>
      <c r="I33" s="10"/>
      <c r="J33" s="10"/>
      <c r="K33" s="10"/>
      <c r="L33" s="14">
        <f t="shared" si="0"/>
        <v>0</v>
      </c>
      <c r="M33" s="14"/>
    </row>
    <row r="34" spans="1:14" s="1" customFormat="1" ht="11.5" customHeight="1">
      <c r="A34" s="8">
        <v>44920</v>
      </c>
      <c r="B34" s="9"/>
      <c r="C34" s="9"/>
      <c r="D34" s="9"/>
      <c r="E34" s="66"/>
      <c r="F34" s="10"/>
      <c r="G34" s="10"/>
      <c r="H34" s="10"/>
      <c r="I34" s="10"/>
      <c r="J34" s="10"/>
      <c r="K34" s="10"/>
      <c r="L34" s="14">
        <f t="shared" si="0"/>
        <v>0</v>
      </c>
      <c r="M34" s="14"/>
    </row>
    <row r="35" spans="1:14" s="1" customFormat="1" ht="11.5" customHeight="1">
      <c r="A35" s="8">
        <v>44921</v>
      </c>
      <c r="B35" s="9"/>
      <c r="C35" s="9"/>
      <c r="D35" s="9"/>
      <c r="E35" s="66"/>
      <c r="F35" s="10"/>
      <c r="G35" s="10"/>
      <c r="H35" s="10"/>
      <c r="I35" s="10"/>
      <c r="J35" s="10"/>
      <c r="K35" s="10"/>
      <c r="L35" s="14">
        <f t="shared" si="0"/>
        <v>0</v>
      </c>
      <c r="M35" s="14"/>
    </row>
    <row r="36" spans="1:14" s="1" customFormat="1" ht="11.5" customHeight="1">
      <c r="A36" s="8">
        <v>44922</v>
      </c>
      <c r="B36" s="9"/>
      <c r="C36" s="9"/>
      <c r="D36" s="9"/>
      <c r="E36" s="66"/>
      <c r="F36" s="10"/>
      <c r="G36" s="10"/>
      <c r="H36" s="10"/>
      <c r="I36" s="10"/>
      <c r="J36" s="10"/>
      <c r="K36" s="10"/>
      <c r="L36" s="14">
        <f t="shared" si="0"/>
        <v>0</v>
      </c>
      <c r="M36" s="14"/>
    </row>
    <row r="37" spans="1:14" s="1" customFormat="1" ht="11.5" customHeight="1">
      <c r="A37" s="8">
        <v>44923</v>
      </c>
      <c r="B37" s="9"/>
      <c r="C37" s="9"/>
      <c r="D37" s="9"/>
      <c r="E37" s="66"/>
      <c r="F37" s="10"/>
      <c r="G37" s="10"/>
      <c r="H37" s="10"/>
      <c r="I37" s="10"/>
      <c r="J37" s="10"/>
      <c r="K37" s="10"/>
      <c r="L37" s="14">
        <f t="shared" si="0"/>
        <v>0</v>
      </c>
      <c r="M37" s="14"/>
    </row>
    <row r="38" spans="1:14" s="1" customFormat="1" ht="11.5" customHeight="1">
      <c r="A38" s="8">
        <v>44924</v>
      </c>
      <c r="B38" s="9"/>
      <c r="C38" s="9"/>
      <c r="D38" s="9"/>
      <c r="E38" s="66"/>
      <c r="F38" s="10"/>
      <c r="G38" s="10"/>
      <c r="H38" s="10"/>
      <c r="I38" s="10"/>
      <c r="J38" s="10"/>
      <c r="K38" s="10"/>
      <c r="L38" s="14">
        <f t="shared" si="0"/>
        <v>0</v>
      </c>
      <c r="M38" s="14"/>
    </row>
    <row r="39" spans="1:14" s="1" customFormat="1" ht="11.5" customHeight="1">
      <c r="A39" s="8">
        <v>44925</v>
      </c>
      <c r="B39" s="9"/>
      <c r="C39" s="9"/>
      <c r="D39" s="9"/>
      <c r="E39" s="66"/>
      <c r="F39" s="10"/>
      <c r="G39" s="10"/>
      <c r="H39" s="10"/>
      <c r="I39" s="10"/>
      <c r="J39" s="10"/>
      <c r="K39" s="10"/>
      <c r="L39" s="14">
        <f t="shared" si="0"/>
        <v>0</v>
      </c>
      <c r="M39" s="14"/>
    </row>
    <row r="40" spans="1:14" s="1" customFormat="1" ht="11.5" customHeight="1">
      <c r="A40" s="8">
        <v>44926</v>
      </c>
      <c r="B40" s="9"/>
      <c r="C40" s="9"/>
      <c r="D40" s="9"/>
      <c r="E40" s="66"/>
      <c r="F40" s="10"/>
      <c r="G40" s="10"/>
      <c r="H40" s="10"/>
      <c r="I40" s="10"/>
      <c r="J40" s="10"/>
      <c r="K40" s="10"/>
      <c r="L40" s="14">
        <f t="shared" si="0"/>
        <v>0</v>
      </c>
      <c r="M40" s="14"/>
    </row>
    <row r="41" spans="1:14" s="2" customFormat="1" ht="11.5" customHeight="1">
      <c r="A41" s="11" t="s">
        <v>35</v>
      </c>
      <c r="B41" s="11"/>
      <c r="C41" s="11"/>
      <c r="D41" s="11"/>
      <c r="E41" s="11"/>
      <c r="F41" s="12">
        <f t="shared" ref="F41:L41" si="1">SUM(F10:F40)</f>
        <v>0</v>
      </c>
      <c r="G41" s="12">
        <f t="shared" si="1"/>
        <v>149</v>
      </c>
      <c r="H41" s="12">
        <f t="shared" si="1"/>
        <v>0</v>
      </c>
      <c r="I41" s="12">
        <f t="shared" si="1"/>
        <v>117.7</v>
      </c>
      <c r="J41" s="12">
        <f t="shared" si="1"/>
        <v>0</v>
      </c>
      <c r="K41" s="12">
        <f t="shared" si="1"/>
        <v>480</v>
      </c>
      <c r="L41" s="12">
        <f t="shared" si="1"/>
        <v>746.7</v>
      </c>
      <c r="M41" s="15"/>
    </row>
    <row r="42" spans="1:14" ht="11.5" customHeight="1">
      <c r="N42" s="3"/>
    </row>
  </sheetData>
  <mergeCells count="26">
    <mergeCell ref="L8:L9"/>
    <mergeCell ref="M8:M9"/>
    <mergeCell ref="F8:K8"/>
    <mergeCell ref="A8:A9"/>
    <mergeCell ref="B8:B9"/>
    <mergeCell ref="C8:C9"/>
    <mergeCell ref="D8:D9"/>
    <mergeCell ref="E8:E9"/>
    <mergeCell ref="A5:B5"/>
    <mergeCell ref="C5:G5"/>
    <mergeCell ref="H5:I5"/>
    <mergeCell ref="J5:M5"/>
    <mergeCell ref="A6:K6"/>
    <mergeCell ref="A3:B3"/>
    <mergeCell ref="C3:G3"/>
    <mergeCell ref="H3:I3"/>
    <mergeCell ref="J3:M3"/>
    <mergeCell ref="A4:B4"/>
    <mergeCell ref="C4:G4"/>
    <mergeCell ref="H4:I4"/>
    <mergeCell ref="J4:M4"/>
    <mergeCell ref="A1:M1"/>
    <mergeCell ref="A2:B2"/>
    <mergeCell ref="C2:G2"/>
    <mergeCell ref="H2:I2"/>
    <mergeCell ref="J2:M2"/>
  </mergeCells>
  <phoneticPr fontId="7" type="noConversion"/>
  <dataValidations count="2">
    <dataValidation type="list" allowBlank="1" showInputMessage="1" showErrorMessage="1" sqref="C3:E3" xr:uid="{00000000-0002-0000-0100-000000000000}">
      <formula1>"差旅,Base地交通费,招待,团建,其他费用"</formula1>
    </dataValidation>
    <dataValidation type="list" allowBlank="1" showInputMessage="1" showErrorMessage="1" sqref="J4 K4" xr:uid="{00000000-0002-0000-0100-000001000000}">
      <formula1>"售前,交付,运维,验收"</formula1>
    </dataValidation>
  </dataValidations>
  <pageMargins left="0.75" right="0.75" top="1" bottom="1" header="0.5" footer="0.5"/>
  <pageSetup paperSize="9" scale="9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差旅</vt:lpstr>
      <vt:lpstr>Sheet1!Print_Area</vt:lpstr>
      <vt:lpstr>差旅!Print_Area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SCR</cp:lastModifiedBy>
  <dcterms:created xsi:type="dcterms:W3CDTF">2015-06-05T18:19:00Z</dcterms:created>
  <dcterms:modified xsi:type="dcterms:W3CDTF">2026-05-11T17:39:26Z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2A710848BFA646F4973DEEA037291056</vt:lpwstr>
  </property>
</Properties>
</file>